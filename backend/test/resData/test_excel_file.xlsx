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WorkSpace\BankSalad_SideProject\backend\test\sample\"/>
    </mc:Choice>
  </mc:AlternateContent>
  <xr:revisionPtr revIDLastSave="0" documentId="13_ncr:1_{81B080A8-59C1-41EE-8B5A-BCC1005C5BD1}" xr6:coauthVersionLast="46" xr6:coauthVersionMax="46" xr10:uidLastSave="{00000000-0000-0000-0000-000000000000}"/>
  <bookViews>
    <workbookView xWindow="42690" yWindow="2610" windowWidth="28800" windowHeight="15435" activeTab="1" xr2:uid="{00000000-000D-0000-FFFF-FFFF00000000}"/>
  </bookViews>
  <sheets>
    <sheet name="뱅샐현황" sheetId="1" r:id="rId1"/>
    <sheet name="가계부 내역" sheetId="2" r:id="rId2"/>
  </sheets>
  <calcPr calcId="191029"/>
</workbook>
</file>

<file path=xl/calcChain.xml><?xml version="1.0" encoding="utf-8"?>
<calcChain xmlns="http://schemas.openxmlformats.org/spreadsheetml/2006/main">
  <c r="G123" i="1" l="1"/>
  <c r="F123" i="1"/>
  <c r="D123" i="1"/>
  <c r="H115" i="1"/>
  <c r="G115" i="1"/>
  <c r="F115" i="1"/>
  <c r="F103" i="1"/>
  <c r="B95" i="1"/>
  <c r="I93" i="1"/>
  <c r="E93" i="1"/>
  <c r="E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C36" i="1" s="1"/>
  <c r="D36" i="1" s="1"/>
  <c r="C35" i="1"/>
  <c r="D35" i="1" s="1"/>
  <c r="C34" i="1"/>
  <c r="D34" i="1" s="1"/>
  <c r="C33" i="1"/>
  <c r="D33" i="1" s="1"/>
  <c r="D32" i="1"/>
  <c r="C32" i="1"/>
  <c r="D31" i="1"/>
  <c r="C31" i="1"/>
  <c r="D30" i="1"/>
  <c r="C30" i="1"/>
  <c r="C29" i="1"/>
  <c r="D29" i="1" s="1"/>
  <c r="C28" i="1"/>
  <c r="D28" i="1" s="1"/>
  <c r="C27" i="1"/>
  <c r="D27" i="1" s="1"/>
  <c r="D26" i="1"/>
  <c r="C26" i="1"/>
  <c r="D25" i="1"/>
  <c r="C25" i="1"/>
  <c r="D24" i="1"/>
  <c r="C24" i="1"/>
  <c r="C23" i="1"/>
  <c r="D23" i="1" s="1"/>
  <c r="C22" i="1"/>
  <c r="D22" i="1" s="1"/>
  <c r="C21" i="1"/>
  <c r="D21" i="1" s="1"/>
  <c r="D20" i="1"/>
  <c r="C20" i="1"/>
  <c r="D19" i="1"/>
  <c r="C19" i="1"/>
  <c r="Q18" i="1"/>
  <c r="Q37" i="1" s="1"/>
  <c r="P18" i="1"/>
  <c r="P37" i="1" s="1"/>
  <c r="O18" i="1"/>
  <c r="O37" i="1" s="1"/>
  <c r="N18" i="1"/>
  <c r="N37" i="1" s="1"/>
  <c r="M18" i="1"/>
  <c r="M37" i="1" s="1"/>
  <c r="L18" i="1"/>
  <c r="L37" i="1" s="1"/>
  <c r="K18" i="1"/>
  <c r="K37" i="1" s="1"/>
  <c r="J18" i="1"/>
  <c r="J37" i="1" s="1"/>
  <c r="I18" i="1"/>
  <c r="I37" i="1" s="1"/>
  <c r="H18" i="1"/>
  <c r="H37" i="1" s="1"/>
  <c r="G18" i="1"/>
  <c r="G37" i="1" s="1"/>
  <c r="F18" i="1"/>
  <c r="F37" i="1" s="1"/>
  <c r="E18" i="1"/>
  <c r="C18" i="1" s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37" i="1" l="1"/>
  <c r="D37" i="1" s="1"/>
</calcChain>
</file>

<file path=xl/sharedStrings.xml><?xml version="1.0" encoding="utf-8"?>
<sst xmlns="http://schemas.openxmlformats.org/spreadsheetml/2006/main" count="584" uniqueCount="211">
  <si>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</si>
  <si>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</si>
  <si>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</si>
  <si>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</si>
  <si>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</si>
  <si>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</si>
  <si>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</si>
  <si>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박천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</si>
  <si>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</si>
  <si>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</si>
  <si>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</si>
  <si>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</si>
  <si>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</si>
  <si>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</si>
  <si>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</si>
  <si>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</si>
  <si>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</si>
  <si>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</si>
  <si>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</si>
  <si>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</si>
  <si>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</si>
  <si>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</si>
  <si>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</si>
  <si>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</si>
  <si>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</si>
  <si>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</si>
  <si>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</si>
  <si>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</si>
  <si>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금융수입</t>
  </si>
  <si>
    <t>급여</t>
  </si>
  <si>
    <t>아르바이트</t>
  </si>
  <si>
    <t>용돈</t>
  </si>
  <si>
    <t>지원금</t>
  </si>
  <si>
    <t>미분류</t>
  </si>
  <si>
    <t>월수입 총계</t>
  </si>
  <si>
    <t>경조사</t>
  </si>
  <si>
    <t>과소비</t>
  </si>
  <si>
    <t>교육</t>
  </si>
  <si>
    <t>교통</t>
  </si>
  <si>
    <t>기타</t>
  </si>
  <si>
    <t>문화/여가</t>
  </si>
  <si>
    <t>생활</t>
  </si>
  <si>
    <t>술/유흥</t>
  </si>
  <si>
    <t>식사</t>
  </si>
  <si>
    <t>여행/숙박</t>
  </si>
  <si>
    <t>의료/건강</t>
  </si>
  <si>
    <t>의복/미용</t>
  </si>
  <si>
    <t>자동차</t>
  </si>
  <si>
    <t>주거/통신</t>
  </si>
  <si>
    <t>카페/간식</t>
  </si>
  <si>
    <t>할부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</si>
  <si>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</si>
  <si>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</si>
  <si>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</si>
  <si>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</si>
  <si>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</si>
  <si>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</si>
  <si>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</si>
  <si>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</si>
  <si>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</si>
  <si>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 able Plus통장-저축예금</t>
  </si>
  <si>
    <t>KB마이핏통장</t>
  </si>
  <si>
    <t>MY 입출금통장</t>
  </si>
  <si>
    <t>보통예금(IBKONE앱통장)</t>
  </si>
  <si>
    <t>사이버증권거래저축예금</t>
  </si>
  <si>
    <t>세이프박스</t>
  </si>
  <si>
    <t>스무살우리 통장</t>
  </si>
  <si>
    <t>우리 드림하이 통장</t>
  </si>
  <si>
    <t>입출금통장</t>
  </si>
  <si>
    <t>신탁 자산</t>
  </si>
  <si>
    <t>현금 자산</t>
  </si>
  <si>
    <t>현금</t>
  </si>
  <si>
    <t>저축성 자산</t>
  </si>
  <si>
    <t>KB청년도약계좌</t>
  </si>
  <si>
    <t>전자금융 자산</t>
  </si>
  <si>
    <t>네이버페이 머니 - park****</t>
  </si>
  <si>
    <t>카카오페이 머니 - 010*****820</t>
  </si>
  <si>
    <t>토스머니</t>
  </si>
  <si>
    <t>페이코포인트 - pa******@naver.com</t>
  </si>
  <si>
    <t>투자성 자산</t>
  </si>
  <si>
    <t>QQQ 인버스 3배 프로셰어즈 ETF</t>
  </si>
  <si>
    <t>KODEX 코스닥150선물인버스</t>
  </si>
  <si>
    <t>JYP Ent.</t>
  </si>
  <si>
    <t>알리바바 그룹 홀딩(ADR)</t>
  </si>
  <si>
    <t>토모큐브</t>
  </si>
  <si>
    <t>케이뱅크</t>
  </si>
  <si>
    <t>CMA</t>
  </si>
  <si>
    <t>FX마진</t>
  </si>
  <si>
    <t>금현물</t>
  </si>
  <si>
    <t>기본계좌</t>
  </si>
  <si>
    <t>선물옵션</t>
  </si>
  <si>
    <t>위탁</t>
  </si>
  <si>
    <t>위탁종합</t>
  </si>
  <si>
    <t>종합</t>
  </si>
  <si>
    <t>종합_위탁</t>
  </si>
  <si>
    <t>종합매매</t>
  </si>
  <si>
    <t>종합위탁</t>
  </si>
  <si>
    <t>종합투자상품</t>
  </si>
  <si>
    <t>해외선물</t>
  </si>
  <si>
    <t>부동산</t>
  </si>
  <si>
    <t>동산</t>
  </si>
  <si>
    <t>기타 실물 자산</t>
  </si>
  <si>
    <t>보험 자산</t>
  </si>
  <si>
    <t>연금 자산</t>
  </si>
  <si>
    <t>장기대출</t>
  </si>
  <si>
    <t>2020년 1학기 취업후상환학자금_등록금</t>
  </si>
  <si>
    <t>2020년 2학기 취업후상환학자금_등록금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</si>
  <si>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</si>
  <si>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</si>
  <si>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</si>
  <si>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</si>
  <si>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</si>
  <si>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</si>
  <si>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</si>
  <si>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</si>
  <si>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</si>
  <si>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</si>
  <si>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</si>
  <si>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보유계약건수</t>
  </si>
  <si>
    <t>정상 0건</t>
  </si>
  <si>
    <t>총 납입금</t>
  </si>
  <si>
    <t>총 0건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</si>
  <si>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</si>
  <si>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</si>
  <si>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</si>
  <si>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</si>
  <si>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</si>
  <si>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</si>
  <si>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</si>
  <si>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</si>
  <si>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</si>
  <si>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</si>
  <si>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대신증권</t>
  </si>
  <si>
    <t>NH투자증권</t>
  </si>
  <si>
    <t>보유상품개수</t>
  </si>
  <si>
    <t>총 투자 원금</t>
  </si>
  <si>
    <t>총 평가 금액</t>
  </si>
  <si>
    <t>총 수익률</t>
  </si>
  <si>
    <t>총 6개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</si>
  <si>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</si>
  <si>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</si>
  <si>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</si>
  <si>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</si>
  <si>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</si>
  <si>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</si>
  <si>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</si>
  <si>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</si>
  <si>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</si>
  <si>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</si>
  <si>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</si>
  <si>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</si>
  <si>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</si>
  <si>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</si>
  <si>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</si>
  <si>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</si>
  <si>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</si>
  <si>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</si>
  <si>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</si>
  <si>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</si>
  <si>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</si>
  <si>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</si>
  <si>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</si>
  <si>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멜론티켓</t>
  </si>
  <si>
    <t>KRW</t>
  </si>
  <si>
    <t>이체</t>
  </si>
  <si>
    <t>카드대금</t>
  </si>
  <si>
    <t>현대카드대금</t>
  </si>
  <si>
    <t>배*호</t>
  </si>
  <si>
    <t>카카오페이 머니</t>
  </si>
  <si>
    <t>치킨모임</t>
  </si>
  <si>
    <t>송금 내역</t>
  </si>
  <si>
    <t>씨유CU신길한아름점</t>
  </si>
  <si>
    <t>kt-현대카드M Edition3(통신할인형2.0)</t>
  </si>
  <si>
    <t>세븐일레븐신길미소점</t>
  </si>
  <si>
    <t>세븐일레븐영등포메인점</t>
  </si>
  <si>
    <t>핫브레드가산디지털단지역점</t>
  </si>
  <si>
    <t>LG U+ 통신요금자동이체</t>
  </si>
  <si>
    <t>LG U+ NU우리카드II</t>
  </si>
  <si>
    <t>피자스쿨신풍점</t>
  </si>
  <si>
    <t>이마트에브리데이신풍역점</t>
  </si>
  <si>
    <t>투자</t>
  </si>
  <si>
    <t>엔소프통신비</t>
  </si>
  <si>
    <t>서울도시가스(주)_자동이체용</t>
  </si>
  <si>
    <t>페이스토리_KIOSK_1</t>
  </si>
  <si>
    <t>최정구</t>
  </si>
  <si>
    <t>칸베이커리</t>
  </si>
  <si>
    <t>365열린치과의원</t>
  </si>
  <si>
    <t>쿠팡</t>
  </si>
  <si>
    <t>김*림</t>
  </si>
  <si>
    <t>구*우</t>
  </si>
  <si>
    <t>수입</t>
  </si>
  <si>
    <t>적립 내역</t>
  </si>
  <si>
    <t>펀비어킹가산W센터점</t>
  </si>
  <si>
    <t>교촌치킨가산디지털점</t>
  </si>
  <si>
    <t>이마트24가산GBC점</t>
  </si>
  <si>
    <t>모바일기후동행카드</t>
  </si>
  <si>
    <t>인터넷상거래</t>
  </si>
  <si>
    <t>정처기</t>
  </si>
  <si>
    <t>고미정</t>
  </si>
  <si>
    <t>제육 오주임님</t>
  </si>
  <si>
    <t>빤닭빤닭퍼블릭가산점</t>
  </si>
  <si>
    <t>닭갈비?</t>
  </si>
  <si>
    <t>페이플</t>
  </si>
  <si>
    <t>Google</t>
  </si>
  <si>
    <t>네이버페이 간편결제(머니)</t>
  </si>
  <si>
    <t>입금 내역</t>
  </si>
  <si>
    <t>02930304262769  ,13회차</t>
  </si>
  <si>
    <t>토스 현대그린</t>
  </si>
  <si>
    <t>GS25뉴금천벽산점</t>
  </si>
  <si>
    <t>박*주</t>
  </si>
  <si>
    <t>킹콩부대찌개퍼블릭가산점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</si>
</sst>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\ &quot;%&quot;\ "/>
    <numFmt numFmtId="178" formatCode="hh:mm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3" fontId="2" fillId="7" borderId="21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0" fillId="0" borderId="23" xfId="0" applyNumberFormat="1" applyBorder="1"/>
    <xf numFmtId="4" fontId="0" fillId="0" borderId="23" xfId="0" applyNumberFormat="1" applyBorder="1"/>
    <xf numFmtId="176" fontId="0" fillId="0" borderId="7" xfId="0" applyNumberFormat="1" applyBorder="1"/>
    <xf numFmtId="177" fontId="2" fillId="7" borderId="21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6" borderId="8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3" fontId="3" fillId="9" borderId="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2" fillId="7" borderId="2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23"/>
  <sheetViews>
    <sheetView workbookViewId="0"/>
  </sheetViews>
  <sheetFormatPr defaultRowHeight="16.5" x14ac:dyDescent="0.3"/>
  <cols>
    <col min="1" max="1" width="2.75" customWidth="1"/>
    <col min="2" max="18" width="16.75" customWidth="1"/>
  </cols>
  <sheetData>
    <row r="3" spans="2:17" ht="20.25" x14ac:dyDescent="0.3">
      <c r="B3" s="1" t="s">
        <v>0</v>
      </c>
    </row>
    <row r="4" spans="2:17" x14ac:dyDescent="0.3">
      <c r="B4" t="s">
        <v>1</v>
      </c>
    </row>
    <row r="5" spans="2:17" x14ac:dyDescent="0.3">
      <c r="B5" s="2" t="s">
        <v>2</v>
      </c>
      <c r="C5" s="3" t="s">
        <v>3</v>
      </c>
      <c r="D5" s="3" t="s">
        <v>4</v>
      </c>
      <c r="E5" s="3" t="s">
        <v>5</v>
      </c>
      <c r="F5" s="42" t="s">
        <v>6</v>
      </c>
      <c r="G5" s="42"/>
    </row>
    <row r="6" spans="2:17" x14ac:dyDescent="0.3">
      <c r="B6" s="4" t="s">
        <v>7</v>
      </c>
      <c r="C6" s="5" t="s">
        <v>8</v>
      </c>
      <c r="D6" s="5">
        <v>26</v>
      </c>
      <c r="E6" s="5">
        <v>942</v>
      </c>
      <c r="F6" s="43" t="s">
        <v>9</v>
      </c>
      <c r="G6" s="43"/>
    </row>
    <row r="9" spans="2:17" ht="20.25" x14ac:dyDescent="0.3">
      <c r="B9" s="1" t="s">
        <v>10</v>
      </c>
    </row>
    <row r="10" spans="2:17" x14ac:dyDescent="0.3">
      <c r="B10" t="s">
        <v>11</v>
      </c>
    </row>
    <row r="11" spans="2:17" x14ac:dyDescent="0.3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 x14ac:dyDescent="0.3">
      <c r="B12" s="9" t="s">
        <v>28</v>
      </c>
      <c r="C12" s="10">
        <f t="shared" ref="C12:C37" si="0">SUM(E12:Q12)</f>
        <v>23584</v>
      </c>
      <c r="D12" s="10">
        <f t="shared" ref="D12:D37" si="1">C12/13</f>
        <v>1814.1538461538462</v>
      </c>
      <c r="E12" s="10">
        <v>34</v>
      </c>
      <c r="F12" s="10">
        <v>2810</v>
      </c>
      <c r="G12" s="10">
        <v>124</v>
      </c>
      <c r="H12" s="10">
        <v>0</v>
      </c>
      <c r="I12" s="10">
        <v>111</v>
      </c>
      <c r="J12" s="10">
        <v>0</v>
      </c>
      <c r="K12" s="10">
        <v>17660</v>
      </c>
      <c r="L12" s="10">
        <v>181</v>
      </c>
      <c r="M12" s="10">
        <v>10</v>
      </c>
      <c r="N12" s="10">
        <v>833</v>
      </c>
      <c r="O12" s="10">
        <v>414</v>
      </c>
      <c r="P12" s="10">
        <v>1407</v>
      </c>
      <c r="Q12" s="10">
        <v>0</v>
      </c>
    </row>
    <row r="13" spans="2:17" x14ac:dyDescent="0.3">
      <c r="B13" s="9" t="s">
        <v>29</v>
      </c>
      <c r="C13" s="10">
        <f t="shared" si="0"/>
        <v>1511980</v>
      </c>
      <c r="D13" s="10">
        <f t="shared" si="1"/>
        <v>116306.15384615384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1511980</v>
      </c>
    </row>
    <row r="14" spans="2:17" x14ac:dyDescent="0.3">
      <c r="B14" s="9" t="s">
        <v>30</v>
      </c>
      <c r="C14" s="10">
        <f t="shared" si="0"/>
        <v>4681623</v>
      </c>
      <c r="D14" s="10">
        <f t="shared" si="1"/>
        <v>360124.84615384613</v>
      </c>
      <c r="E14" s="10">
        <v>0</v>
      </c>
      <c r="F14" s="10">
        <v>0</v>
      </c>
      <c r="G14" s="10">
        <v>0</v>
      </c>
      <c r="H14" s="10">
        <v>159040</v>
      </c>
      <c r="I14" s="10">
        <v>556625</v>
      </c>
      <c r="J14" s="10">
        <v>626203</v>
      </c>
      <c r="K14" s="10">
        <v>556630</v>
      </c>
      <c r="L14" s="10">
        <v>556625</v>
      </c>
      <c r="M14" s="10">
        <v>626203</v>
      </c>
      <c r="N14" s="10">
        <v>556625</v>
      </c>
      <c r="O14" s="10">
        <v>626203</v>
      </c>
      <c r="P14" s="10">
        <v>417469</v>
      </c>
      <c r="Q14" s="10">
        <v>0</v>
      </c>
    </row>
    <row r="15" spans="2:17" x14ac:dyDescent="0.3">
      <c r="B15" s="9" t="s">
        <v>31</v>
      </c>
      <c r="C15" s="10">
        <f t="shared" si="0"/>
        <v>1</v>
      </c>
      <c r="D15" s="10">
        <f t="shared" si="1"/>
        <v>7.6923076923076927E-2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</row>
    <row r="16" spans="2:17" x14ac:dyDescent="0.3">
      <c r="B16" s="9" t="s">
        <v>32</v>
      </c>
      <c r="C16" s="10">
        <f t="shared" si="0"/>
        <v>2015000</v>
      </c>
      <c r="D16" s="10">
        <f t="shared" si="1"/>
        <v>155000</v>
      </c>
      <c r="E16" s="10">
        <v>0</v>
      </c>
      <c r="F16" s="10">
        <v>0</v>
      </c>
      <c r="G16" s="10">
        <v>0</v>
      </c>
      <c r="H16" s="10">
        <v>0</v>
      </c>
      <c r="I16" s="10">
        <v>600000</v>
      </c>
      <c r="J16" s="10">
        <v>200000</v>
      </c>
      <c r="K16" s="10">
        <v>200000</v>
      </c>
      <c r="L16" s="10">
        <v>200000</v>
      </c>
      <c r="M16" s="10">
        <v>0</v>
      </c>
      <c r="N16" s="10">
        <v>400000</v>
      </c>
      <c r="O16" s="10">
        <v>200000</v>
      </c>
      <c r="P16" s="10">
        <v>215000</v>
      </c>
      <c r="Q16" s="10">
        <v>0</v>
      </c>
    </row>
    <row r="17" spans="2:17" x14ac:dyDescent="0.3">
      <c r="B17" s="9" t="s">
        <v>33</v>
      </c>
      <c r="C17" s="10">
        <f t="shared" si="0"/>
        <v>3487832</v>
      </c>
      <c r="D17" s="10">
        <f t="shared" si="1"/>
        <v>268294.76923076925</v>
      </c>
      <c r="E17" s="10">
        <v>0</v>
      </c>
      <c r="F17" s="10">
        <v>0</v>
      </c>
      <c r="G17" s="10">
        <v>1284600</v>
      </c>
      <c r="H17" s="10">
        <v>853</v>
      </c>
      <c r="I17" s="10">
        <v>26400</v>
      </c>
      <c r="J17" s="10">
        <v>20000</v>
      </c>
      <c r="K17" s="10">
        <v>626038</v>
      </c>
      <c r="L17" s="10">
        <v>332534</v>
      </c>
      <c r="M17" s="10">
        <v>324900</v>
      </c>
      <c r="N17" s="10">
        <v>316000</v>
      </c>
      <c r="O17" s="10">
        <v>556505</v>
      </c>
      <c r="P17" s="10">
        <v>0</v>
      </c>
      <c r="Q17" s="10">
        <v>2</v>
      </c>
    </row>
    <row r="18" spans="2:17" x14ac:dyDescent="0.3">
      <c r="B18" s="11" t="s">
        <v>34</v>
      </c>
      <c r="C18" s="12">
        <f t="shared" si="0"/>
        <v>11720020</v>
      </c>
      <c r="D18" s="12">
        <f t="shared" si="1"/>
        <v>901540</v>
      </c>
      <c r="E18" s="12">
        <f t="shared" ref="E18:Q18" si="2">SUM(E12:E17)</f>
        <v>34</v>
      </c>
      <c r="F18" s="12">
        <f t="shared" si="2"/>
        <v>2810</v>
      </c>
      <c r="G18" s="12">
        <f t="shared" si="2"/>
        <v>1284724</v>
      </c>
      <c r="H18" s="12">
        <f t="shared" si="2"/>
        <v>159893</v>
      </c>
      <c r="I18" s="12">
        <f t="shared" si="2"/>
        <v>1183136</v>
      </c>
      <c r="J18" s="12">
        <f t="shared" si="2"/>
        <v>846203</v>
      </c>
      <c r="K18" s="12">
        <f t="shared" si="2"/>
        <v>1400328</v>
      </c>
      <c r="L18" s="12">
        <f t="shared" si="2"/>
        <v>1089340</v>
      </c>
      <c r="M18" s="12">
        <f t="shared" si="2"/>
        <v>951113</v>
      </c>
      <c r="N18" s="12">
        <f t="shared" si="2"/>
        <v>1273458</v>
      </c>
      <c r="O18" s="12">
        <f t="shared" si="2"/>
        <v>1383122</v>
      </c>
      <c r="P18" s="12">
        <f t="shared" si="2"/>
        <v>633877</v>
      </c>
      <c r="Q18" s="12">
        <f t="shared" si="2"/>
        <v>1511982</v>
      </c>
    </row>
    <row r="19" spans="2:17" x14ac:dyDescent="0.3">
      <c r="B19" s="9" t="s">
        <v>35</v>
      </c>
      <c r="C19" s="10">
        <f t="shared" si="0"/>
        <v>251606</v>
      </c>
      <c r="D19" s="10">
        <f t="shared" si="1"/>
        <v>19354.307692307691</v>
      </c>
      <c r="E19" s="10">
        <v>0</v>
      </c>
      <c r="F19" s="10">
        <v>0</v>
      </c>
      <c r="G19" s="10">
        <v>0</v>
      </c>
      <c r="H19" s="10">
        <v>98860</v>
      </c>
      <c r="I19" s="10">
        <v>0</v>
      </c>
      <c r="J19" s="10">
        <v>27900</v>
      </c>
      <c r="K19" s="10">
        <v>13600</v>
      </c>
      <c r="L19" s="10">
        <v>0</v>
      </c>
      <c r="M19" s="10">
        <v>51000</v>
      </c>
      <c r="N19" s="10">
        <v>20000</v>
      </c>
      <c r="O19" s="10">
        <v>29650</v>
      </c>
      <c r="P19" s="10">
        <v>10596</v>
      </c>
      <c r="Q19" s="10">
        <v>0</v>
      </c>
    </row>
    <row r="20" spans="2:17" x14ac:dyDescent="0.3">
      <c r="B20" s="9" t="s">
        <v>36</v>
      </c>
      <c r="C20" s="10">
        <f t="shared" si="0"/>
        <v>175428</v>
      </c>
      <c r="D20" s="10">
        <f t="shared" si="1"/>
        <v>13494.461538461539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30000</v>
      </c>
      <c r="L20" s="10">
        <v>0</v>
      </c>
      <c r="M20" s="10">
        <v>0</v>
      </c>
      <c r="N20" s="10">
        <v>0</v>
      </c>
      <c r="O20" s="10">
        <v>0</v>
      </c>
      <c r="P20" s="10">
        <v>112428</v>
      </c>
      <c r="Q20" s="10">
        <v>33000</v>
      </c>
    </row>
    <row r="21" spans="2:17" x14ac:dyDescent="0.3">
      <c r="B21" s="9" t="s">
        <v>37</v>
      </c>
      <c r="C21" s="10">
        <f t="shared" si="0"/>
        <v>334160</v>
      </c>
      <c r="D21" s="10">
        <f t="shared" si="1"/>
        <v>25704.615384615383</v>
      </c>
      <c r="E21" s="10">
        <v>0</v>
      </c>
      <c r="F21" s="10">
        <v>130000</v>
      </c>
      <c r="G21" s="10">
        <v>10280</v>
      </c>
      <c r="H21" s="10">
        <v>108580</v>
      </c>
      <c r="I21" s="10">
        <v>21600</v>
      </c>
      <c r="J21" s="10">
        <v>50000</v>
      </c>
      <c r="K21" s="10">
        <v>0</v>
      </c>
      <c r="L21" s="10">
        <v>0</v>
      </c>
      <c r="M21" s="10">
        <v>9700</v>
      </c>
      <c r="N21" s="10">
        <v>0</v>
      </c>
      <c r="O21" s="10">
        <v>4000</v>
      </c>
      <c r="P21" s="10">
        <v>0</v>
      </c>
      <c r="Q21" s="10">
        <v>0</v>
      </c>
    </row>
    <row r="22" spans="2:17" x14ac:dyDescent="0.3">
      <c r="B22" s="9" t="s">
        <v>38</v>
      </c>
      <c r="C22" s="10">
        <f t="shared" si="0"/>
        <v>963102</v>
      </c>
      <c r="D22" s="10">
        <f t="shared" si="1"/>
        <v>74084.769230769234</v>
      </c>
      <c r="E22" s="10">
        <v>39800</v>
      </c>
      <c r="F22" s="10">
        <v>79200</v>
      </c>
      <c r="G22" s="10">
        <v>244950</v>
      </c>
      <c r="H22" s="10">
        <v>16400</v>
      </c>
      <c r="I22" s="10">
        <v>13700</v>
      </c>
      <c r="J22" s="10">
        <v>91400</v>
      </c>
      <c r="K22" s="10">
        <v>55000</v>
      </c>
      <c r="L22" s="10">
        <v>55000</v>
      </c>
      <c r="M22" s="10">
        <v>64500</v>
      </c>
      <c r="N22" s="10">
        <v>55000</v>
      </c>
      <c r="O22" s="10">
        <v>82850</v>
      </c>
      <c r="P22" s="10">
        <v>110302</v>
      </c>
      <c r="Q22" s="10">
        <v>55000</v>
      </c>
    </row>
    <row r="23" spans="2:17" x14ac:dyDescent="0.3">
      <c r="B23" s="9" t="s">
        <v>39</v>
      </c>
      <c r="C23" s="10">
        <f t="shared" si="0"/>
        <v>11000</v>
      </c>
      <c r="D23" s="10">
        <f t="shared" si="1"/>
        <v>846.15384615384619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11000</v>
      </c>
      <c r="Q23" s="10">
        <v>0</v>
      </c>
    </row>
    <row r="24" spans="2:17" x14ac:dyDescent="0.3">
      <c r="B24" s="9" t="s">
        <v>40</v>
      </c>
      <c r="C24" s="10">
        <f t="shared" si="0"/>
        <v>658222</v>
      </c>
      <c r="D24" s="10">
        <f t="shared" si="1"/>
        <v>50632.461538461539</v>
      </c>
      <c r="E24" s="10">
        <v>54500</v>
      </c>
      <c r="F24" s="10">
        <v>21480</v>
      </c>
      <c r="G24" s="10">
        <v>126810</v>
      </c>
      <c r="H24" s="10">
        <v>32635</v>
      </c>
      <c r="I24" s="10">
        <v>61077</v>
      </c>
      <c r="J24" s="10">
        <v>44978</v>
      </c>
      <c r="K24" s="10">
        <v>9614</v>
      </c>
      <c r="L24" s="10">
        <v>0</v>
      </c>
      <c r="M24" s="10">
        <v>12800</v>
      </c>
      <c r="N24" s="10">
        <v>42600</v>
      </c>
      <c r="O24" s="10">
        <v>22100</v>
      </c>
      <c r="P24" s="10">
        <v>138628</v>
      </c>
      <c r="Q24" s="10">
        <v>91000</v>
      </c>
    </row>
    <row r="25" spans="2:17" x14ac:dyDescent="0.3">
      <c r="B25" s="9" t="s">
        <v>41</v>
      </c>
      <c r="C25" s="10">
        <f t="shared" si="0"/>
        <v>2460528</v>
      </c>
      <c r="D25" s="10">
        <f t="shared" si="1"/>
        <v>189271.38461538462</v>
      </c>
      <c r="E25" s="10">
        <v>123500</v>
      </c>
      <c r="F25" s="10">
        <v>69630</v>
      </c>
      <c r="G25" s="10">
        <v>514413</v>
      </c>
      <c r="H25" s="10">
        <v>129560</v>
      </c>
      <c r="I25" s="10">
        <v>81630</v>
      </c>
      <c r="J25" s="10">
        <v>165260</v>
      </c>
      <c r="K25" s="10">
        <v>189860</v>
      </c>
      <c r="L25" s="10">
        <v>159610</v>
      </c>
      <c r="M25" s="10">
        <v>206910</v>
      </c>
      <c r="N25" s="10">
        <v>207299</v>
      </c>
      <c r="O25" s="10">
        <v>224909</v>
      </c>
      <c r="P25" s="10">
        <v>279717</v>
      </c>
      <c r="Q25" s="10">
        <v>108230</v>
      </c>
    </row>
    <row r="26" spans="2:17" x14ac:dyDescent="0.3">
      <c r="B26" s="9" t="s">
        <v>42</v>
      </c>
      <c r="C26" s="10">
        <f t="shared" si="0"/>
        <v>463386</v>
      </c>
      <c r="D26" s="10">
        <f t="shared" si="1"/>
        <v>35645.076923076922</v>
      </c>
      <c r="E26" s="10">
        <v>0</v>
      </c>
      <c r="F26" s="10">
        <v>0</v>
      </c>
      <c r="G26" s="10">
        <v>43000</v>
      </c>
      <c r="H26" s="10">
        <v>0</v>
      </c>
      <c r="I26" s="10">
        <v>0</v>
      </c>
      <c r="J26" s="10">
        <v>13000</v>
      </c>
      <c r="K26" s="10">
        <v>44800</v>
      </c>
      <c r="L26" s="10">
        <v>68216</v>
      </c>
      <c r="M26" s="10">
        <v>9000</v>
      </c>
      <c r="N26" s="10">
        <v>48600</v>
      </c>
      <c r="O26" s="10">
        <v>98280</v>
      </c>
      <c r="P26" s="10">
        <v>102590</v>
      </c>
      <c r="Q26" s="10">
        <v>35900</v>
      </c>
    </row>
    <row r="27" spans="2:17" x14ac:dyDescent="0.3">
      <c r="B27" s="9" t="s">
        <v>43</v>
      </c>
      <c r="C27" s="10">
        <f t="shared" si="0"/>
        <v>2898809</v>
      </c>
      <c r="D27" s="10">
        <f t="shared" si="1"/>
        <v>222985.30769230769</v>
      </c>
      <c r="E27" s="10">
        <v>27800</v>
      </c>
      <c r="F27" s="10">
        <v>308825</v>
      </c>
      <c r="G27" s="10">
        <v>353600</v>
      </c>
      <c r="H27" s="10">
        <v>105533</v>
      </c>
      <c r="I27" s="10">
        <v>180400</v>
      </c>
      <c r="J27" s="10">
        <v>246500</v>
      </c>
      <c r="K27" s="10">
        <v>224300</v>
      </c>
      <c r="L27" s="10">
        <v>264650</v>
      </c>
      <c r="M27" s="10">
        <v>334100</v>
      </c>
      <c r="N27" s="10">
        <v>258300</v>
      </c>
      <c r="O27" s="10">
        <v>245001</v>
      </c>
      <c r="P27" s="10">
        <v>201900</v>
      </c>
      <c r="Q27" s="10">
        <v>147900</v>
      </c>
    </row>
    <row r="28" spans="2:17" x14ac:dyDescent="0.3">
      <c r="B28" s="9" t="s">
        <v>44</v>
      </c>
      <c r="C28" s="10">
        <f t="shared" si="0"/>
        <v>2017622</v>
      </c>
      <c r="D28" s="10">
        <f t="shared" si="1"/>
        <v>155201.69230769231</v>
      </c>
      <c r="E28" s="10">
        <v>1990220</v>
      </c>
      <c r="F28" s="10">
        <v>10402</v>
      </c>
      <c r="G28" s="10">
        <v>0</v>
      </c>
      <c r="H28" s="10">
        <v>0</v>
      </c>
      <c r="I28" s="10">
        <v>0</v>
      </c>
      <c r="J28" s="10">
        <v>0</v>
      </c>
      <c r="K28" s="10">
        <v>2000</v>
      </c>
      <c r="L28" s="10">
        <v>0</v>
      </c>
      <c r="M28" s="10">
        <v>0</v>
      </c>
      <c r="N28" s="10">
        <v>0</v>
      </c>
      <c r="O28" s="10">
        <v>15000</v>
      </c>
      <c r="P28" s="10">
        <v>0</v>
      </c>
      <c r="Q28" s="10">
        <v>0</v>
      </c>
    </row>
    <row r="29" spans="2:17" x14ac:dyDescent="0.3">
      <c r="B29" s="9" t="s">
        <v>45</v>
      </c>
      <c r="C29" s="10">
        <f t="shared" si="0"/>
        <v>410300</v>
      </c>
      <c r="D29" s="10">
        <f t="shared" si="1"/>
        <v>31561.538461538461</v>
      </c>
      <c r="E29" s="10">
        <v>0</v>
      </c>
      <c r="F29" s="10">
        <v>109000</v>
      </c>
      <c r="G29" s="10">
        <v>21000</v>
      </c>
      <c r="H29" s="10">
        <v>10800</v>
      </c>
      <c r="I29" s="10">
        <v>9000</v>
      </c>
      <c r="J29" s="10">
        <v>0</v>
      </c>
      <c r="K29" s="10">
        <v>100</v>
      </c>
      <c r="L29" s="10">
        <v>0</v>
      </c>
      <c r="M29" s="10">
        <v>65000</v>
      </c>
      <c r="N29" s="10">
        <v>0</v>
      </c>
      <c r="O29" s="10">
        <v>25400</v>
      </c>
      <c r="P29" s="10">
        <v>0</v>
      </c>
      <c r="Q29" s="10">
        <v>170000</v>
      </c>
    </row>
    <row r="30" spans="2:17" x14ac:dyDescent="0.3">
      <c r="B30" s="9" t="s">
        <v>46</v>
      </c>
      <c r="C30" s="10">
        <f t="shared" si="0"/>
        <v>1003585</v>
      </c>
      <c r="D30" s="10">
        <f t="shared" si="1"/>
        <v>77198.846153846156</v>
      </c>
      <c r="E30" s="10">
        <v>0</v>
      </c>
      <c r="F30" s="10">
        <v>5427</v>
      </c>
      <c r="G30" s="10">
        <v>59500</v>
      </c>
      <c r="H30" s="10">
        <v>84666</v>
      </c>
      <c r="I30" s="10">
        <v>84666</v>
      </c>
      <c r="J30" s="10">
        <v>124666</v>
      </c>
      <c r="K30" s="10">
        <v>26000</v>
      </c>
      <c r="L30" s="10">
        <v>65440</v>
      </c>
      <c r="M30" s="10">
        <v>72990</v>
      </c>
      <c r="N30" s="10">
        <v>136290</v>
      </c>
      <c r="O30" s="10">
        <v>244940</v>
      </c>
      <c r="P30" s="10">
        <v>99000</v>
      </c>
      <c r="Q30" s="10">
        <v>0</v>
      </c>
    </row>
    <row r="31" spans="2:17" x14ac:dyDescent="0.3">
      <c r="B31" s="9" t="s">
        <v>47</v>
      </c>
      <c r="C31" s="10">
        <f t="shared" si="0"/>
        <v>254800</v>
      </c>
      <c r="D31" s="10">
        <f t="shared" si="1"/>
        <v>19600</v>
      </c>
      <c r="E31" s="10">
        <v>0</v>
      </c>
      <c r="F31" s="10">
        <v>0</v>
      </c>
      <c r="G31" s="10">
        <v>3000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248000</v>
      </c>
      <c r="O31" s="10">
        <v>3800</v>
      </c>
      <c r="P31" s="10">
        <v>0</v>
      </c>
      <c r="Q31" s="10">
        <v>0</v>
      </c>
    </row>
    <row r="32" spans="2:17" x14ac:dyDescent="0.3">
      <c r="B32" s="9" t="s">
        <v>48</v>
      </c>
      <c r="C32" s="10">
        <f t="shared" si="0"/>
        <v>2643070</v>
      </c>
      <c r="D32" s="10">
        <f t="shared" si="1"/>
        <v>203313.07692307694</v>
      </c>
      <c r="E32" s="10">
        <v>85490</v>
      </c>
      <c r="F32" s="10">
        <v>78470</v>
      </c>
      <c r="G32" s="10">
        <v>64510</v>
      </c>
      <c r="H32" s="10">
        <v>166630</v>
      </c>
      <c r="I32" s="10">
        <v>184070</v>
      </c>
      <c r="J32" s="10">
        <v>553970</v>
      </c>
      <c r="K32" s="10">
        <v>152670</v>
      </c>
      <c r="L32" s="10">
        <v>113600</v>
      </c>
      <c r="M32" s="10">
        <v>502590</v>
      </c>
      <c r="N32" s="10">
        <v>115220</v>
      </c>
      <c r="O32" s="10">
        <v>114760</v>
      </c>
      <c r="P32" s="10">
        <v>502440</v>
      </c>
      <c r="Q32" s="10">
        <v>8650</v>
      </c>
    </row>
    <row r="33" spans="2:17" x14ac:dyDescent="0.3">
      <c r="B33" s="9" t="s">
        <v>49</v>
      </c>
      <c r="C33" s="10">
        <f t="shared" si="0"/>
        <v>810755</v>
      </c>
      <c r="D33" s="10">
        <f t="shared" si="1"/>
        <v>62365.769230769234</v>
      </c>
      <c r="E33" s="10">
        <v>20900</v>
      </c>
      <c r="F33" s="10">
        <v>137120</v>
      </c>
      <c r="G33" s="10">
        <v>214000</v>
      </c>
      <c r="H33" s="10">
        <v>15600</v>
      </c>
      <c r="I33" s="10">
        <v>20500</v>
      </c>
      <c r="J33" s="10">
        <v>51050</v>
      </c>
      <c r="K33" s="10">
        <v>44140</v>
      </c>
      <c r="L33" s="10">
        <v>14440</v>
      </c>
      <c r="M33" s="10">
        <v>30140</v>
      </c>
      <c r="N33" s="10">
        <v>35040</v>
      </c>
      <c r="O33" s="10">
        <v>94645</v>
      </c>
      <c r="P33" s="10">
        <v>104940</v>
      </c>
      <c r="Q33" s="10">
        <v>28240</v>
      </c>
    </row>
    <row r="34" spans="2:17" x14ac:dyDescent="0.3">
      <c r="B34" s="9" t="s">
        <v>50</v>
      </c>
      <c r="C34" s="10">
        <f t="shared" si="0"/>
        <v>1959855</v>
      </c>
      <c r="D34" s="10">
        <f t="shared" si="1"/>
        <v>150758.07692307694</v>
      </c>
      <c r="E34" s="10">
        <v>0</v>
      </c>
      <c r="F34" s="10">
        <v>0</v>
      </c>
      <c r="G34" s="10">
        <v>0</v>
      </c>
      <c r="H34" s="10">
        <v>105495</v>
      </c>
      <c r="I34" s="10">
        <v>332660</v>
      </c>
      <c r="J34" s="10">
        <v>632270</v>
      </c>
      <c r="K34" s="10">
        <v>236595</v>
      </c>
      <c r="L34" s="10">
        <v>259655</v>
      </c>
      <c r="M34" s="10">
        <v>95640</v>
      </c>
      <c r="N34" s="10">
        <v>135380</v>
      </c>
      <c r="O34" s="10">
        <v>109360</v>
      </c>
      <c r="P34" s="10">
        <v>52800</v>
      </c>
      <c r="Q34" s="10">
        <v>0</v>
      </c>
    </row>
    <row r="35" spans="2:17" x14ac:dyDescent="0.3">
      <c r="B35" s="9" t="s">
        <v>33</v>
      </c>
      <c r="C35" s="10">
        <f t="shared" si="0"/>
        <v>4053191</v>
      </c>
      <c r="D35" s="10">
        <f t="shared" si="1"/>
        <v>311783.92307692306</v>
      </c>
      <c r="E35" s="10">
        <v>778881</v>
      </c>
      <c r="F35" s="10">
        <v>159873</v>
      </c>
      <c r="G35" s="10">
        <v>1664080</v>
      </c>
      <c r="H35" s="10">
        <v>0</v>
      </c>
      <c r="I35" s="10">
        <v>0</v>
      </c>
      <c r="J35" s="10">
        <v>30460</v>
      </c>
      <c r="K35" s="10">
        <v>78627</v>
      </c>
      <c r="L35" s="10">
        <v>124600</v>
      </c>
      <c r="M35" s="10">
        <v>176860</v>
      </c>
      <c r="N35" s="10">
        <v>321540</v>
      </c>
      <c r="O35" s="10">
        <v>435070</v>
      </c>
      <c r="P35" s="10">
        <v>0</v>
      </c>
      <c r="Q35" s="10">
        <v>283200</v>
      </c>
    </row>
    <row r="36" spans="2:17" x14ac:dyDescent="0.3">
      <c r="B36" s="11" t="s">
        <v>51</v>
      </c>
      <c r="C36" s="12">
        <f t="shared" si="0"/>
        <v>21369419</v>
      </c>
      <c r="D36" s="12">
        <f t="shared" si="1"/>
        <v>1643801.4615384615</v>
      </c>
      <c r="E36" s="12">
        <f t="shared" ref="E36:Q36" si="3">SUM(E19:E35)</f>
        <v>3121091</v>
      </c>
      <c r="F36" s="12">
        <f t="shared" si="3"/>
        <v>1109427</v>
      </c>
      <c r="G36" s="12">
        <f t="shared" si="3"/>
        <v>3319143</v>
      </c>
      <c r="H36" s="12">
        <f t="shared" si="3"/>
        <v>874759</v>
      </c>
      <c r="I36" s="12">
        <f t="shared" si="3"/>
        <v>989303</v>
      </c>
      <c r="J36" s="12">
        <f t="shared" si="3"/>
        <v>2031454</v>
      </c>
      <c r="K36" s="12">
        <f t="shared" si="3"/>
        <v>1107306</v>
      </c>
      <c r="L36" s="12">
        <f t="shared" si="3"/>
        <v>1125211</v>
      </c>
      <c r="M36" s="12">
        <f t="shared" si="3"/>
        <v>1631230</v>
      </c>
      <c r="N36" s="12">
        <f t="shared" si="3"/>
        <v>1623269</v>
      </c>
      <c r="O36" s="12">
        <f t="shared" si="3"/>
        <v>1749765</v>
      </c>
      <c r="P36" s="12">
        <f t="shared" si="3"/>
        <v>1726341</v>
      </c>
      <c r="Q36" s="12">
        <f t="shared" si="3"/>
        <v>961120</v>
      </c>
    </row>
    <row r="37" spans="2:17" x14ac:dyDescent="0.3">
      <c r="B37" s="13" t="s">
        <v>52</v>
      </c>
      <c r="C37" s="14">
        <f t="shared" si="0"/>
        <v>-9649399</v>
      </c>
      <c r="D37" s="14">
        <f t="shared" si="1"/>
        <v>-742261.4615384615</v>
      </c>
      <c r="E37" s="14">
        <f t="shared" ref="E37:Q37" si="4">E18-E36</f>
        <v>-3121057</v>
      </c>
      <c r="F37" s="14">
        <f t="shared" si="4"/>
        <v>-1106617</v>
      </c>
      <c r="G37" s="14">
        <f t="shared" si="4"/>
        <v>-2034419</v>
      </c>
      <c r="H37" s="14">
        <f t="shared" si="4"/>
        <v>-714866</v>
      </c>
      <c r="I37" s="14">
        <f t="shared" si="4"/>
        <v>193833</v>
      </c>
      <c r="J37" s="14">
        <f t="shared" si="4"/>
        <v>-1185251</v>
      </c>
      <c r="K37" s="14">
        <f t="shared" si="4"/>
        <v>293022</v>
      </c>
      <c r="L37" s="14">
        <f t="shared" si="4"/>
        <v>-35871</v>
      </c>
      <c r="M37" s="14">
        <f t="shared" si="4"/>
        <v>-680117</v>
      </c>
      <c r="N37" s="14">
        <f t="shared" si="4"/>
        <v>-349811</v>
      </c>
      <c r="O37" s="14">
        <f t="shared" si="4"/>
        <v>-366643</v>
      </c>
      <c r="P37" s="14">
        <f t="shared" si="4"/>
        <v>-1092464</v>
      </c>
      <c r="Q37" s="14">
        <f t="shared" si="4"/>
        <v>550862</v>
      </c>
    </row>
    <row r="40" spans="2:17" ht="20.25" x14ac:dyDescent="0.3">
      <c r="B40" s="1" t="s">
        <v>53</v>
      </c>
    </row>
    <row r="41" spans="2:17" x14ac:dyDescent="0.3">
      <c r="B41" t="s">
        <v>54</v>
      </c>
    </row>
    <row r="42" spans="2:17" x14ac:dyDescent="0.3">
      <c r="B42" s="44" t="s">
        <v>55</v>
      </c>
      <c r="C42" s="44"/>
      <c r="D42" s="44"/>
      <c r="E42" s="44"/>
      <c r="F42" s="45" t="s">
        <v>56</v>
      </c>
      <c r="G42" s="45"/>
      <c r="H42" s="45"/>
      <c r="I42" s="45"/>
    </row>
    <row r="43" spans="2:17" x14ac:dyDescent="0.3">
      <c r="B43" s="15" t="s">
        <v>12</v>
      </c>
      <c r="C43" s="46" t="s">
        <v>57</v>
      </c>
      <c r="D43" s="46"/>
      <c r="E43" s="16" t="s">
        <v>58</v>
      </c>
      <c r="F43" s="16" t="s">
        <v>12</v>
      </c>
      <c r="G43" s="46" t="s">
        <v>57</v>
      </c>
      <c r="H43" s="46"/>
      <c r="I43" s="16" t="s">
        <v>58</v>
      </c>
    </row>
    <row r="44" spans="2:17" x14ac:dyDescent="0.3">
      <c r="B44" s="47" t="s">
        <v>59</v>
      </c>
      <c r="C44" s="48" t="s">
        <v>60</v>
      </c>
      <c r="D44" s="48"/>
      <c r="E44" s="19">
        <v>377799</v>
      </c>
      <c r="F44" s="49" t="s">
        <v>104</v>
      </c>
      <c r="G44" s="48" t="s">
        <v>105</v>
      </c>
      <c r="H44" s="48"/>
      <c r="I44" s="20">
        <v>3017358</v>
      </c>
    </row>
    <row r="45" spans="2:17" x14ac:dyDescent="0.3">
      <c r="B45" s="47"/>
      <c r="C45" s="48" t="s">
        <v>61</v>
      </c>
      <c r="D45" s="48"/>
      <c r="E45" s="19">
        <v>0</v>
      </c>
      <c r="F45" s="49"/>
      <c r="G45" s="48" t="s">
        <v>106</v>
      </c>
      <c r="H45" s="48"/>
      <c r="I45" s="20">
        <v>2033842</v>
      </c>
    </row>
    <row r="46" spans="2:17" x14ac:dyDescent="0.3">
      <c r="B46" s="47"/>
      <c r="C46" s="48" t="s">
        <v>62</v>
      </c>
      <c r="D46" s="48"/>
      <c r="E46" s="19">
        <v>0</v>
      </c>
      <c r="F46" s="18"/>
      <c r="G46" s="48"/>
      <c r="H46" s="48"/>
      <c r="I46" s="21"/>
    </row>
    <row r="47" spans="2:17" x14ac:dyDescent="0.3">
      <c r="B47" s="47"/>
      <c r="C47" s="48" t="s">
        <v>63</v>
      </c>
      <c r="D47" s="48"/>
      <c r="E47" s="19">
        <v>30370</v>
      </c>
      <c r="F47" s="18"/>
      <c r="G47" s="48"/>
      <c r="H47" s="48"/>
      <c r="I47" s="21"/>
    </row>
    <row r="48" spans="2:17" x14ac:dyDescent="0.3">
      <c r="B48" s="47"/>
      <c r="C48" s="48" t="s">
        <v>64</v>
      </c>
      <c r="D48" s="48"/>
      <c r="E48" s="19">
        <v>90</v>
      </c>
      <c r="F48" s="18"/>
      <c r="G48" s="48"/>
      <c r="H48" s="48"/>
      <c r="I48" s="21"/>
    </row>
    <row r="49" spans="2:9" x14ac:dyDescent="0.3">
      <c r="B49" s="47"/>
      <c r="C49" s="48" t="s">
        <v>65</v>
      </c>
      <c r="D49" s="48"/>
      <c r="E49" s="19">
        <v>0</v>
      </c>
      <c r="F49" s="18"/>
      <c r="G49" s="48"/>
      <c r="H49" s="48"/>
      <c r="I49" s="21"/>
    </row>
    <row r="50" spans="2:9" x14ac:dyDescent="0.3">
      <c r="B50" s="47"/>
      <c r="C50" s="48" t="s">
        <v>66</v>
      </c>
      <c r="D50" s="48"/>
      <c r="E50" s="19">
        <v>126593</v>
      </c>
      <c r="F50" s="18"/>
      <c r="G50" s="48"/>
      <c r="H50" s="48"/>
      <c r="I50" s="21"/>
    </row>
    <row r="51" spans="2:9" x14ac:dyDescent="0.3">
      <c r="B51" s="47"/>
      <c r="C51" s="48" t="s">
        <v>67</v>
      </c>
      <c r="D51" s="48"/>
      <c r="E51" s="19">
        <v>0</v>
      </c>
      <c r="F51" s="18"/>
      <c r="G51" s="48"/>
      <c r="H51" s="48"/>
      <c r="I51" s="21"/>
    </row>
    <row r="52" spans="2:9" x14ac:dyDescent="0.3">
      <c r="B52" s="47"/>
      <c r="C52" s="48" t="s">
        <v>68</v>
      </c>
      <c r="D52" s="48"/>
      <c r="E52" s="19">
        <v>19281</v>
      </c>
      <c r="F52" s="18"/>
      <c r="G52" s="48"/>
      <c r="H52" s="48"/>
      <c r="I52" s="21"/>
    </row>
    <row r="53" spans="2:9" x14ac:dyDescent="0.3">
      <c r="B53" s="17" t="s">
        <v>69</v>
      </c>
      <c r="C53" s="48"/>
      <c r="D53" s="48"/>
      <c r="E53" s="19"/>
      <c r="F53" s="18"/>
      <c r="G53" s="48"/>
      <c r="H53" s="48"/>
      <c r="I53" s="21"/>
    </row>
    <row r="54" spans="2:9" x14ac:dyDescent="0.3">
      <c r="B54" s="17" t="s">
        <v>70</v>
      </c>
      <c r="C54" s="48" t="s">
        <v>71</v>
      </c>
      <c r="D54" s="48"/>
      <c r="E54" s="19">
        <v>0</v>
      </c>
      <c r="F54" s="18"/>
      <c r="G54" s="48"/>
      <c r="H54" s="48"/>
      <c r="I54" s="21"/>
    </row>
    <row r="55" spans="2:9" x14ac:dyDescent="0.3">
      <c r="B55" s="17" t="s">
        <v>72</v>
      </c>
      <c r="C55" s="48" t="s">
        <v>73</v>
      </c>
      <c r="D55" s="48"/>
      <c r="E55" s="19">
        <v>990000</v>
      </c>
      <c r="F55" s="18"/>
      <c r="G55" s="48"/>
      <c r="H55" s="48"/>
      <c r="I55" s="21"/>
    </row>
    <row r="56" spans="2:9" x14ac:dyDescent="0.3">
      <c r="B56" s="47" t="s">
        <v>74</v>
      </c>
      <c r="C56" s="48" t="s">
        <v>75</v>
      </c>
      <c r="D56" s="48"/>
      <c r="E56" s="19">
        <v>1586</v>
      </c>
      <c r="F56" s="18"/>
      <c r="G56" s="48"/>
      <c r="H56" s="48"/>
      <c r="I56" s="21"/>
    </row>
    <row r="57" spans="2:9" x14ac:dyDescent="0.3">
      <c r="B57" s="47"/>
      <c r="C57" s="48" t="s">
        <v>76</v>
      </c>
      <c r="D57" s="48"/>
      <c r="E57" s="19">
        <v>131078</v>
      </c>
      <c r="F57" s="18"/>
      <c r="G57" s="48"/>
      <c r="H57" s="48"/>
      <c r="I57" s="21"/>
    </row>
    <row r="58" spans="2:9" x14ac:dyDescent="0.3">
      <c r="B58" s="47"/>
      <c r="C58" s="48" t="s">
        <v>77</v>
      </c>
      <c r="D58" s="48"/>
      <c r="E58" s="19">
        <v>0</v>
      </c>
      <c r="F58" s="18"/>
      <c r="G58" s="48"/>
      <c r="H58" s="48"/>
      <c r="I58" s="21"/>
    </row>
    <row r="59" spans="2:9" x14ac:dyDescent="0.3">
      <c r="B59" s="47"/>
      <c r="C59" s="48" t="s">
        <v>78</v>
      </c>
      <c r="D59" s="48"/>
      <c r="E59" s="19">
        <v>0</v>
      </c>
      <c r="F59" s="18"/>
      <c r="G59" s="48"/>
      <c r="H59" s="48"/>
      <c r="I59" s="21"/>
    </row>
    <row r="60" spans="2:9" x14ac:dyDescent="0.3">
      <c r="B60" s="47" t="s">
        <v>79</v>
      </c>
      <c r="C60" s="48" t="s">
        <v>80</v>
      </c>
      <c r="D60" s="48"/>
      <c r="E60" s="19">
        <v>2849700</v>
      </c>
      <c r="F60" s="18"/>
      <c r="G60" s="48"/>
      <c r="H60" s="48"/>
      <c r="I60" s="21"/>
    </row>
    <row r="61" spans="2:9" x14ac:dyDescent="0.3">
      <c r="B61" s="47"/>
      <c r="C61" s="48" t="s">
        <v>81</v>
      </c>
      <c r="D61" s="48"/>
      <c r="E61" s="19">
        <v>2312000</v>
      </c>
      <c r="F61" s="18"/>
      <c r="G61" s="48"/>
      <c r="H61" s="48"/>
      <c r="I61" s="21"/>
    </row>
    <row r="62" spans="2:9" x14ac:dyDescent="0.3">
      <c r="B62" s="47"/>
      <c r="C62" s="48" t="s">
        <v>82</v>
      </c>
      <c r="D62" s="48"/>
      <c r="E62" s="19">
        <v>287600</v>
      </c>
      <c r="F62" s="18"/>
      <c r="G62" s="48"/>
      <c r="H62" s="48"/>
      <c r="I62" s="21"/>
    </row>
    <row r="63" spans="2:9" x14ac:dyDescent="0.3">
      <c r="B63" s="47"/>
      <c r="C63" s="48" t="s">
        <v>83</v>
      </c>
      <c r="D63" s="48"/>
      <c r="E63" s="19">
        <v>235837.32</v>
      </c>
      <c r="F63" s="18"/>
      <c r="G63" s="48"/>
      <c r="H63" s="48"/>
      <c r="I63" s="21"/>
    </row>
    <row r="64" spans="2:9" x14ac:dyDescent="0.3">
      <c r="B64" s="47"/>
      <c r="C64" s="48" t="s">
        <v>84</v>
      </c>
      <c r="D64" s="48"/>
      <c r="E64" s="19">
        <v>160600</v>
      </c>
      <c r="F64" s="18"/>
      <c r="G64" s="48"/>
      <c r="H64" s="48"/>
      <c r="I64" s="21"/>
    </row>
    <row r="65" spans="2:9" x14ac:dyDescent="0.3">
      <c r="B65" s="47"/>
      <c r="C65" s="48" t="s">
        <v>85</v>
      </c>
      <c r="D65" s="48"/>
      <c r="E65" s="19">
        <v>0</v>
      </c>
      <c r="F65" s="18"/>
      <c r="G65" s="48"/>
      <c r="H65" s="48"/>
      <c r="I65" s="21"/>
    </row>
    <row r="66" spans="2:9" x14ac:dyDescent="0.3">
      <c r="B66" s="47"/>
      <c r="C66" s="48" t="s">
        <v>86</v>
      </c>
      <c r="D66" s="48"/>
      <c r="E66" s="19">
        <v>0</v>
      </c>
      <c r="F66" s="18"/>
      <c r="G66" s="48"/>
      <c r="H66" s="48"/>
      <c r="I66" s="21"/>
    </row>
    <row r="67" spans="2:9" x14ac:dyDescent="0.3">
      <c r="B67" s="47"/>
      <c r="C67" s="48" t="s">
        <v>87</v>
      </c>
      <c r="D67" s="48"/>
      <c r="E67" s="19">
        <v>0</v>
      </c>
      <c r="F67" s="18"/>
      <c r="G67" s="48"/>
      <c r="H67" s="48"/>
      <c r="I67" s="21"/>
    </row>
    <row r="68" spans="2:9" x14ac:dyDescent="0.3">
      <c r="B68" s="47"/>
      <c r="C68" s="48" t="s">
        <v>88</v>
      </c>
      <c r="D68" s="48"/>
      <c r="E68" s="19">
        <v>0</v>
      </c>
      <c r="F68" s="18"/>
      <c r="G68" s="48"/>
      <c r="H68" s="48"/>
      <c r="I68" s="21"/>
    </row>
    <row r="69" spans="2:9" x14ac:dyDescent="0.3">
      <c r="B69" s="47"/>
      <c r="C69" s="48" t="s">
        <v>89</v>
      </c>
      <c r="D69" s="48"/>
      <c r="E69" s="19">
        <v>116</v>
      </c>
      <c r="F69" s="18"/>
      <c r="G69" s="48"/>
      <c r="H69" s="48"/>
      <c r="I69" s="21"/>
    </row>
    <row r="70" spans="2:9" x14ac:dyDescent="0.3">
      <c r="B70" s="47"/>
      <c r="C70" s="48" t="s">
        <v>90</v>
      </c>
      <c r="D70" s="48"/>
      <c r="E70" s="19">
        <v>0</v>
      </c>
      <c r="F70" s="18"/>
      <c r="G70" s="48"/>
      <c r="H70" s="48"/>
      <c r="I70" s="21"/>
    </row>
    <row r="71" spans="2:9" x14ac:dyDescent="0.3">
      <c r="B71" s="47"/>
      <c r="C71" s="48" t="s">
        <v>90</v>
      </c>
      <c r="D71" s="48"/>
      <c r="E71" s="19">
        <v>0</v>
      </c>
      <c r="F71" s="18"/>
      <c r="G71" s="48"/>
      <c r="H71" s="48"/>
      <c r="I71" s="21"/>
    </row>
    <row r="72" spans="2:9" x14ac:dyDescent="0.3">
      <c r="B72" s="47"/>
      <c r="C72" s="48" t="s">
        <v>91</v>
      </c>
      <c r="D72" s="48"/>
      <c r="E72" s="19">
        <v>9</v>
      </c>
      <c r="F72" s="18"/>
      <c r="G72" s="48"/>
      <c r="H72" s="48"/>
      <c r="I72" s="21"/>
    </row>
    <row r="73" spans="2:9" x14ac:dyDescent="0.3">
      <c r="B73" s="47"/>
      <c r="C73" s="48" t="s">
        <v>91</v>
      </c>
      <c r="D73" s="48"/>
      <c r="E73" s="19">
        <v>1</v>
      </c>
      <c r="F73" s="18"/>
      <c r="G73" s="48"/>
      <c r="H73" s="48"/>
      <c r="I73" s="21"/>
    </row>
    <row r="74" spans="2:9" x14ac:dyDescent="0.3">
      <c r="B74" s="47"/>
      <c r="C74" s="48" t="s">
        <v>91</v>
      </c>
      <c r="D74" s="48"/>
      <c r="E74" s="19">
        <v>0</v>
      </c>
      <c r="F74" s="18"/>
      <c r="G74" s="48"/>
      <c r="H74" s="48"/>
      <c r="I74" s="21"/>
    </row>
    <row r="75" spans="2:9" x14ac:dyDescent="0.3">
      <c r="B75" s="47"/>
      <c r="C75" s="48" t="s">
        <v>92</v>
      </c>
      <c r="D75" s="48"/>
      <c r="E75" s="19">
        <v>721137</v>
      </c>
      <c r="F75" s="18"/>
      <c r="G75" s="48"/>
      <c r="H75" s="48"/>
      <c r="I75" s="21"/>
    </row>
    <row r="76" spans="2:9" x14ac:dyDescent="0.3">
      <c r="B76" s="47"/>
      <c r="C76" s="48" t="s">
        <v>92</v>
      </c>
      <c r="D76" s="48"/>
      <c r="E76" s="19">
        <v>1643</v>
      </c>
      <c r="F76" s="18"/>
      <c r="G76" s="48"/>
      <c r="H76" s="48"/>
      <c r="I76" s="21"/>
    </row>
    <row r="77" spans="2:9" x14ac:dyDescent="0.3">
      <c r="B77" s="47"/>
      <c r="C77" s="48" t="s">
        <v>92</v>
      </c>
      <c r="D77" s="48"/>
      <c r="E77" s="19">
        <v>196120.43799999999</v>
      </c>
      <c r="F77" s="18"/>
      <c r="G77" s="48"/>
      <c r="H77" s="48"/>
      <c r="I77" s="21"/>
    </row>
    <row r="78" spans="2:9" x14ac:dyDescent="0.3">
      <c r="B78" s="47"/>
      <c r="C78" s="48" t="s">
        <v>93</v>
      </c>
      <c r="D78" s="48"/>
      <c r="E78" s="19">
        <v>1365</v>
      </c>
      <c r="F78" s="18"/>
      <c r="G78" s="48"/>
      <c r="H78" s="48"/>
      <c r="I78" s="21"/>
    </row>
    <row r="79" spans="2:9" x14ac:dyDescent="0.3">
      <c r="B79" s="47"/>
      <c r="C79" s="48" t="s">
        <v>94</v>
      </c>
      <c r="D79" s="48"/>
      <c r="E79" s="19">
        <v>0</v>
      </c>
      <c r="F79" s="18"/>
      <c r="G79" s="48"/>
      <c r="H79" s="48"/>
      <c r="I79" s="21"/>
    </row>
    <row r="80" spans="2:9" x14ac:dyDescent="0.3">
      <c r="B80" s="47"/>
      <c r="C80" s="48" t="s">
        <v>95</v>
      </c>
      <c r="D80" s="48"/>
      <c r="E80" s="19">
        <v>0</v>
      </c>
      <c r="F80" s="18"/>
      <c r="G80" s="48"/>
      <c r="H80" s="48"/>
      <c r="I80" s="21"/>
    </row>
    <row r="81" spans="2:9" x14ac:dyDescent="0.3">
      <c r="B81" s="47"/>
      <c r="C81" s="48" t="s">
        <v>95</v>
      </c>
      <c r="D81" s="48"/>
      <c r="E81" s="19">
        <v>21104</v>
      </c>
      <c r="F81" s="18"/>
      <c r="G81" s="48"/>
      <c r="H81" s="48"/>
      <c r="I81" s="21"/>
    </row>
    <row r="82" spans="2:9" x14ac:dyDescent="0.3">
      <c r="B82" s="47"/>
      <c r="C82" s="48" t="s">
        <v>96</v>
      </c>
      <c r="D82" s="48"/>
      <c r="E82" s="19">
        <v>0</v>
      </c>
      <c r="F82" s="18"/>
      <c r="G82" s="48"/>
      <c r="H82" s="48"/>
      <c r="I82" s="21"/>
    </row>
    <row r="83" spans="2:9" x14ac:dyDescent="0.3">
      <c r="B83" s="47"/>
      <c r="C83" s="48" t="s">
        <v>96</v>
      </c>
      <c r="D83" s="48"/>
      <c r="E83" s="19">
        <v>0</v>
      </c>
      <c r="F83" s="18"/>
      <c r="G83" s="48"/>
      <c r="H83" s="48"/>
      <c r="I83" s="21"/>
    </row>
    <row r="84" spans="2:9" x14ac:dyDescent="0.3">
      <c r="B84" s="47"/>
      <c r="C84" s="48" t="s">
        <v>97</v>
      </c>
      <c r="D84" s="48"/>
      <c r="E84" s="19">
        <v>129</v>
      </c>
      <c r="F84" s="18"/>
      <c r="G84" s="48"/>
      <c r="H84" s="48"/>
      <c r="I84" s="21"/>
    </row>
    <row r="85" spans="2:9" x14ac:dyDescent="0.3">
      <c r="B85" s="47"/>
      <c r="C85" s="48" t="s">
        <v>98</v>
      </c>
      <c r="D85" s="48"/>
      <c r="E85" s="19">
        <v>0</v>
      </c>
      <c r="F85" s="18"/>
      <c r="G85" s="48"/>
      <c r="H85" s="48"/>
      <c r="I85" s="21"/>
    </row>
    <row r="86" spans="2:9" x14ac:dyDescent="0.3">
      <c r="B86" s="47"/>
      <c r="C86" s="48" t="s">
        <v>98</v>
      </c>
      <c r="D86" s="48"/>
      <c r="E86" s="19">
        <v>0</v>
      </c>
      <c r="F86" s="18"/>
      <c r="G86" s="48"/>
      <c r="H86" s="48"/>
      <c r="I86" s="21"/>
    </row>
    <row r="87" spans="2:9" x14ac:dyDescent="0.3">
      <c r="B87" s="47"/>
      <c r="C87" s="48" t="s">
        <v>98</v>
      </c>
      <c r="D87" s="48"/>
      <c r="E87" s="19">
        <v>0</v>
      </c>
      <c r="F87" s="18"/>
      <c r="G87" s="48"/>
      <c r="H87" s="48"/>
      <c r="I87" s="21"/>
    </row>
    <row r="88" spans="2:9" x14ac:dyDescent="0.3">
      <c r="B88" s="17" t="s">
        <v>99</v>
      </c>
      <c r="C88" s="48"/>
      <c r="D88" s="48"/>
      <c r="E88" s="19"/>
      <c r="F88" s="18"/>
      <c r="G88" s="48"/>
      <c r="H88" s="48"/>
      <c r="I88" s="21"/>
    </row>
    <row r="89" spans="2:9" x14ac:dyDescent="0.3">
      <c r="B89" s="17" t="s">
        <v>100</v>
      </c>
      <c r="C89" s="48"/>
      <c r="D89" s="48"/>
      <c r="E89" s="19"/>
      <c r="F89" s="18"/>
      <c r="G89" s="48"/>
      <c r="H89" s="48"/>
      <c r="I89" s="21"/>
    </row>
    <row r="90" spans="2:9" x14ac:dyDescent="0.3">
      <c r="B90" s="17" t="s">
        <v>101</v>
      </c>
      <c r="C90" s="48"/>
      <c r="D90" s="48"/>
      <c r="E90" s="19"/>
      <c r="F90" s="18"/>
      <c r="G90" s="48"/>
      <c r="H90" s="48"/>
      <c r="I90" s="21"/>
    </row>
    <row r="91" spans="2:9" x14ac:dyDescent="0.3">
      <c r="B91" s="17" t="s">
        <v>102</v>
      </c>
      <c r="C91" s="48"/>
      <c r="D91" s="48"/>
      <c r="E91" s="19"/>
      <c r="F91" s="18"/>
      <c r="G91" s="48"/>
      <c r="H91" s="48"/>
      <c r="I91" s="21"/>
    </row>
    <row r="92" spans="2:9" x14ac:dyDescent="0.3">
      <c r="B92" s="17" t="s">
        <v>103</v>
      </c>
      <c r="C92" s="48"/>
      <c r="D92" s="48"/>
      <c r="E92" s="19"/>
      <c r="F92" s="18"/>
      <c r="G92" s="48"/>
      <c r="H92" s="48"/>
      <c r="I92" s="21"/>
    </row>
    <row r="93" spans="2:9" x14ac:dyDescent="0.3">
      <c r="B93" s="50" t="s">
        <v>107</v>
      </c>
      <c r="C93" s="50"/>
      <c r="D93" s="50"/>
      <c r="E93" s="22">
        <f>SUM(E44:E92)</f>
        <v>8464158.7579999994</v>
      </c>
      <c r="F93" s="51" t="s">
        <v>108</v>
      </c>
      <c r="G93" s="51"/>
      <c r="H93" s="51"/>
      <c r="I93" s="23">
        <f>SUM(I44:I92)</f>
        <v>5051200</v>
      </c>
    </row>
    <row r="94" spans="2:9" x14ac:dyDescent="0.3">
      <c r="B94" s="52" t="s">
        <v>109</v>
      </c>
      <c r="C94" s="52"/>
      <c r="D94" s="52"/>
      <c r="E94" s="52"/>
      <c r="F94" s="52"/>
      <c r="G94" s="52"/>
      <c r="H94" s="52"/>
      <c r="I94" s="52"/>
    </row>
    <row r="95" spans="2:9" x14ac:dyDescent="0.3">
      <c r="B95" s="53">
        <f>E93-I93</f>
        <v>3412958.7579999994</v>
      </c>
      <c r="C95" s="53"/>
      <c r="D95" s="53"/>
      <c r="E95" s="53"/>
      <c r="F95" s="53"/>
      <c r="G95" s="53"/>
      <c r="H95" s="53"/>
      <c r="I95" s="53"/>
    </row>
    <row r="98" spans="2:10" ht="20.25" x14ac:dyDescent="0.3">
      <c r="B98" s="1" t="s">
        <v>110</v>
      </c>
    </row>
    <row r="99" spans="2:10" x14ac:dyDescent="0.3">
      <c r="B99" t="s">
        <v>111</v>
      </c>
    </row>
    <row r="100" spans="2:10" x14ac:dyDescent="0.3">
      <c r="B100" s="24" t="s">
        <v>112</v>
      </c>
      <c r="C100" s="54" t="s">
        <v>113</v>
      </c>
      <c r="D100" s="54"/>
      <c r="E100" s="25" t="s">
        <v>114</v>
      </c>
      <c r="F100" s="25" t="s">
        <v>115</v>
      </c>
      <c r="G100" s="25" t="s">
        <v>116</v>
      </c>
      <c r="H100" s="25" t="s">
        <v>117</v>
      </c>
    </row>
    <row r="101" spans="2:10" x14ac:dyDescent="0.3">
      <c r="B101" s="26"/>
      <c r="C101" s="55"/>
      <c r="D101" s="55"/>
      <c r="E101" s="27"/>
      <c r="F101" s="27"/>
      <c r="G101" s="27"/>
      <c r="H101" s="27"/>
    </row>
    <row r="102" spans="2:10" x14ac:dyDescent="0.3">
      <c r="B102" s="56" t="s">
        <v>13</v>
      </c>
      <c r="C102" s="57" t="s">
        <v>118</v>
      </c>
      <c r="D102" s="57"/>
      <c r="E102" s="28" t="s">
        <v>119</v>
      </c>
      <c r="F102" s="28" t="s">
        <v>120</v>
      </c>
      <c r="G102" s="28"/>
      <c r="H102" s="29"/>
    </row>
    <row r="103" spans="2:10" x14ac:dyDescent="0.3">
      <c r="B103" s="56"/>
      <c r="C103" s="58" t="s">
        <v>121</v>
      </c>
      <c r="D103" s="58"/>
      <c r="E103" s="30" t="s">
        <v>122</v>
      </c>
      <c r="F103" s="31">
        <f>SUM(F101)</f>
        <v>0</v>
      </c>
      <c r="G103" s="30"/>
      <c r="H103" s="32"/>
    </row>
    <row r="105" spans="2:10" ht="20.25" x14ac:dyDescent="0.3">
      <c r="B105" s="1" t="s">
        <v>123</v>
      </c>
    </row>
    <row r="106" spans="2:10" x14ac:dyDescent="0.3">
      <c r="B106" t="s">
        <v>124</v>
      </c>
    </row>
    <row r="107" spans="2:10" x14ac:dyDescent="0.3">
      <c r="B107" s="24" t="s">
        <v>125</v>
      </c>
      <c r="C107" s="25" t="s">
        <v>112</v>
      </c>
      <c r="D107" s="54" t="s">
        <v>57</v>
      </c>
      <c r="E107" s="54"/>
      <c r="F107" s="25" t="s">
        <v>126</v>
      </c>
      <c r="G107" s="25" t="s">
        <v>127</v>
      </c>
      <c r="H107" s="25" t="s">
        <v>128</v>
      </c>
      <c r="I107" s="25" t="s">
        <v>129</v>
      </c>
      <c r="J107" s="25" t="s">
        <v>117</v>
      </c>
    </row>
    <row r="108" spans="2:10" x14ac:dyDescent="0.3">
      <c r="B108" s="26" t="s">
        <v>130</v>
      </c>
      <c r="C108" s="27" t="s">
        <v>131</v>
      </c>
      <c r="D108" s="55" t="s">
        <v>80</v>
      </c>
      <c r="E108" s="55"/>
      <c r="F108" s="33">
        <v>4600140</v>
      </c>
      <c r="G108" s="33">
        <v>2849700</v>
      </c>
      <c r="H108" s="34">
        <v>-38.051885377401547</v>
      </c>
      <c r="I108" s="35"/>
      <c r="J108" s="35"/>
    </row>
    <row r="109" spans="2:10" x14ac:dyDescent="0.3">
      <c r="B109" s="26" t="s">
        <v>130</v>
      </c>
      <c r="C109" s="27" t="s">
        <v>131</v>
      </c>
      <c r="D109" s="55" t="s">
        <v>81</v>
      </c>
      <c r="E109" s="55"/>
      <c r="F109" s="33">
        <v>2792800</v>
      </c>
      <c r="G109" s="33">
        <v>2312000</v>
      </c>
      <c r="H109" s="34">
        <v>-17.215697507877401</v>
      </c>
      <c r="I109" s="35"/>
      <c r="J109" s="35"/>
    </row>
    <row r="110" spans="2:10" x14ac:dyDescent="0.3">
      <c r="B110" s="26" t="s">
        <v>130</v>
      </c>
      <c r="C110" s="27" t="s">
        <v>131</v>
      </c>
      <c r="D110" s="55" t="s">
        <v>82</v>
      </c>
      <c r="E110" s="55"/>
      <c r="F110" s="33">
        <v>292800</v>
      </c>
      <c r="G110" s="33">
        <v>287600</v>
      </c>
      <c r="H110" s="34">
        <v>-1.775956284153005</v>
      </c>
      <c r="I110" s="35"/>
      <c r="J110" s="35"/>
    </row>
    <row r="111" spans="2:10" x14ac:dyDescent="0.3">
      <c r="B111" s="26" t="s">
        <v>130</v>
      </c>
      <c r="C111" s="27" t="s">
        <v>131</v>
      </c>
      <c r="D111" s="55" t="s">
        <v>83</v>
      </c>
      <c r="E111" s="55"/>
      <c r="F111" s="33">
        <v>165056</v>
      </c>
      <c r="G111" s="33">
        <v>235837.32</v>
      </c>
      <c r="H111" s="34">
        <v>42.883215393563397</v>
      </c>
      <c r="I111" s="35"/>
      <c r="J111" s="35"/>
    </row>
    <row r="112" spans="2:10" x14ac:dyDescent="0.3">
      <c r="B112" s="26" t="s">
        <v>130</v>
      </c>
      <c r="C112" s="27" t="s">
        <v>132</v>
      </c>
      <c r="D112" s="55" t="s">
        <v>84</v>
      </c>
      <c r="E112" s="55"/>
      <c r="F112" s="33">
        <v>64000</v>
      </c>
      <c r="G112" s="33">
        <v>160600</v>
      </c>
      <c r="H112" s="34">
        <v>150.9375</v>
      </c>
      <c r="I112" s="35"/>
      <c r="J112" s="35"/>
    </row>
    <row r="113" spans="2:10" x14ac:dyDescent="0.3">
      <c r="B113" s="26" t="s">
        <v>130</v>
      </c>
      <c r="C113" s="27" t="s">
        <v>133</v>
      </c>
      <c r="D113" s="55" t="s">
        <v>85</v>
      </c>
      <c r="E113" s="55"/>
      <c r="F113" s="33">
        <v>0</v>
      </c>
      <c r="G113" s="33">
        <v>0</v>
      </c>
      <c r="H113" s="34"/>
      <c r="I113" s="35"/>
      <c r="J113" s="35"/>
    </row>
    <row r="114" spans="2:10" x14ac:dyDescent="0.3">
      <c r="B114" s="59" t="s">
        <v>13</v>
      </c>
      <c r="C114" s="28"/>
      <c r="D114" s="57" t="s">
        <v>134</v>
      </c>
      <c r="E114" s="57"/>
      <c r="F114" s="28" t="s">
        <v>135</v>
      </c>
      <c r="G114" s="28" t="s">
        <v>136</v>
      </c>
      <c r="H114" s="28" t="s">
        <v>137</v>
      </c>
      <c r="I114" s="28"/>
      <c r="J114" s="29"/>
    </row>
    <row r="115" spans="2:10" x14ac:dyDescent="0.3">
      <c r="B115" s="59"/>
      <c r="C115" s="30"/>
      <c r="D115" s="58" t="s">
        <v>138</v>
      </c>
      <c r="E115" s="58"/>
      <c r="F115" s="31">
        <f>SUM(F108:F113)</f>
        <v>7914796</v>
      </c>
      <c r="G115" s="31">
        <f>SUM(G108:G113)</f>
        <v>5845737.3200000003</v>
      </c>
      <c r="H115" s="36">
        <f>(SUM(G108:G113) - SUM(F108:F113)) * 100 / IF(SUM(F108:F113), SUM(F108:F113), 1)</f>
        <v>-26.141655198693684</v>
      </c>
      <c r="I115" s="30"/>
      <c r="J115" s="32"/>
    </row>
    <row r="117" spans="2:10" ht="20.25" x14ac:dyDescent="0.3">
      <c r="B117" s="1" t="s">
        <v>139</v>
      </c>
    </row>
    <row r="118" spans="2:10" x14ac:dyDescent="0.3">
      <c r="B118" t="s">
        <v>140</v>
      </c>
    </row>
    <row r="119" spans="2:10" x14ac:dyDescent="0.3">
      <c r="B119" s="37" t="s">
        <v>141</v>
      </c>
      <c r="C119" s="38" t="s">
        <v>112</v>
      </c>
      <c r="D119" s="60" t="s">
        <v>57</v>
      </c>
      <c r="E119" s="60"/>
      <c r="F119" s="38" t="s">
        <v>142</v>
      </c>
      <c r="G119" s="38" t="s">
        <v>143</v>
      </c>
      <c r="H119" s="38" t="s">
        <v>144</v>
      </c>
      <c r="I119" s="38" t="s">
        <v>145</v>
      </c>
      <c r="J119" s="38" t="s">
        <v>146</v>
      </c>
    </row>
    <row r="120" spans="2:10" x14ac:dyDescent="0.3">
      <c r="B120" s="26" t="s">
        <v>147</v>
      </c>
      <c r="C120" s="27" t="s">
        <v>148</v>
      </c>
      <c r="D120" s="55" t="s">
        <v>105</v>
      </c>
      <c r="E120" s="55"/>
      <c r="F120" s="33">
        <v>3118000</v>
      </c>
      <c r="G120" s="33">
        <v>3017358</v>
      </c>
      <c r="H120" s="27">
        <v>1.7</v>
      </c>
      <c r="I120" s="35">
        <v>43893</v>
      </c>
      <c r="J120" s="35">
        <v>2958465</v>
      </c>
    </row>
    <row r="121" spans="2:10" x14ac:dyDescent="0.3">
      <c r="B121" s="26" t="s">
        <v>147</v>
      </c>
      <c r="C121" s="27" t="s">
        <v>148</v>
      </c>
      <c r="D121" s="55" t="s">
        <v>106</v>
      </c>
      <c r="E121" s="55"/>
      <c r="F121" s="33">
        <v>4347000</v>
      </c>
      <c r="G121" s="33">
        <v>2033842</v>
      </c>
      <c r="H121" s="27">
        <v>1.7</v>
      </c>
      <c r="I121" s="35">
        <v>44068</v>
      </c>
      <c r="J121" s="35">
        <v>2958465</v>
      </c>
    </row>
    <row r="122" spans="2:10" x14ac:dyDescent="0.3">
      <c r="B122" s="59" t="s">
        <v>13</v>
      </c>
      <c r="C122" s="28"/>
      <c r="D122" s="57" t="s">
        <v>149</v>
      </c>
      <c r="E122" s="57"/>
      <c r="F122" s="28" t="s">
        <v>150</v>
      </c>
      <c r="G122" s="28" t="s">
        <v>151</v>
      </c>
      <c r="H122" s="28"/>
      <c r="I122" s="28"/>
      <c r="J122" s="29"/>
    </row>
    <row r="123" spans="2:10" x14ac:dyDescent="0.3">
      <c r="B123" s="59"/>
      <c r="C123" s="30"/>
      <c r="D123" s="61">
        <f>SUM(2)</f>
        <v>2</v>
      </c>
      <c r="E123" s="61"/>
      <c r="F123" s="31">
        <f>SUM(F120:F121)</f>
        <v>7465000</v>
      </c>
      <c r="G123" s="31">
        <f>SUM(G120:G121)</f>
        <v>5051200</v>
      </c>
      <c r="H123" s="30"/>
      <c r="I123" s="30"/>
      <c r="J123" s="32"/>
    </row>
  </sheetData>
  <mergeCells count="133">
    <mergeCell ref="D121:E121"/>
    <mergeCell ref="B122:B123"/>
    <mergeCell ref="D122:E122"/>
    <mergeCell ref="D123:E123"/>
    <mergeCell ref="D110:E110"/>
    <mergeCell ref="D111:E111"/>
    <mergeCell ref="D112:E112"/>
    <mergeCell ref="D113:E113"/>
    <mergeCell ref="B114:B115"/>
    <mergeCell ref="D114:E114"/>
    <mergeCell ref="D115:E115"/>
    <mergeCell ref="D119:E119"/>
    <mergeCell ref="D120:E120"/>
    <mergeCell ref="B95:I95"/>
    <mergeCell ref="C100:D100"/>
    <mergeCell ref="C101:D101"/>
    <mergeCell ref="B102:B103"/>
    <mergeCell ref="C102:D102"/>
    <mergeCell ref="C103:D103"/>
    <mergeCell ref="D107:E107"/>
    <mergeCell ref="D108:E108"/>
    <mergeCell ref="D109:E109"/>
    <mergeCell ref="G87:H87"/>
    <mergeCell ref="G88:H88"/>
    <mergeCell ref="G89:H89"/>
    <mergeCell ref="G90:H90"/>
    <mergeCell ref="G91:H91"/>
    <mergeCell ref="G92:H92"/>
    <mergeCell ref="B93:D93"/>
    <mergeCell ref="F93:H93"/>
    <mergeCell ref="B94:I94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53:D53"/>
    <mergeCell ref="C54:D54"/>
    <mergeCell ref="C55:D55"/>
    <mergeCell ref="B56:B59"/>
    <mergeCell ref="C56:D56"/>
    <mergeCell ref="C57:D57"/>
    <mergeCell ref="C58:D58"/>
    <mergeCell ref="C59:D59"/>
    <mergeCell ref="B60:B87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F5:G5"/>
    <mergeCell ref="F6:G6"/>
    <mergeCell ref="B42:E42"/>
    <mergeCell ref="F42:I42"/>
    <mergeCell ref="C43:D43"/>
    <mergeCell ref="G43:H43"/>
    <mergeCell ref="B44:B52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F44:F45"/>
    <mergeCell ref="G44:H44"/>
    <mergeCell ref="G45:H45"/>
    <mergeCell ref="G46:H46"/>
    <mergeCell ref="G47:H47"/>
    <mergeCell ref="G48:H48"/>
    <mergeCell ref="G49:H49"/>
    <mergeCell ref="G50:H50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tabSelected="1" topLeftCell="A48" workbookViewId="0">
      <selection activeCell="D60" sqref="D60"/>
    </sheetView>
  </sheetViews>
  <sheetFormatPr defaultRowHeight="16.5" x14ac:dyDescent="0.3"/>
  <cols>
    <col min="1" max="1" width="15.75" customWidth="1"/>
    <col min="6" max="7" width="20.75" customWidth="1"/>
    <col min="9" max="10" width="20.75" customWidth="1"/>
  </cols>
  <sheetData>
    <row r="1" spans="1:10" x14ac:dyDescent="0.3">
      <c r="A1" s="39" t="s">
        <v>152</v>
      </c>
      <c r="B1" s="39" t="s">
        <v>153</v>
      </c>
      <c r="C1" s="39" t="s">
        <v>154</v>
      </c>
      <c r="D1" s="39" t="s">
        <v>155</v>
      </c>
      <c r="E1" s="39" t="s">
        <v>156</v>
      </c>
      <c r="F1" s="39" t="s">
        <v>157</v>
      </c>
      <c r="G1" s="39" t="s">
        <v>58</v>
      </c>
      <c r="H1" s="39" t="s">
        <v>158</v>
      </c>
      <c r="I1" s="39" t="s">
        <v>159</v>
      </c>
      <c r="J1" s="39" t="s">
        <v>160</v>
      </c>
    </row>
    <row r="2" spans="1:10" x14ac:dyDescent="0.3">
      <c r="A2" s="40">
        <v>45973</v>
      </c>
      <c r="B2" s="41">
        <v>0.8431481481481482</v>
      </c>
      <c r="C2" t="s">
        <v>161</v>
      </c>
      <c r="D2" t="s">
        <v>40</v>
      </c>
      <c r="E2" t="s">
        <v>33</v>
      </c>
      <c r="F2" t="s">
        <v>162</v>
      </c>
      <c r="G2">
        <v>-90000</v>
      </c>
      <c r="H2" t="s">
        <v>163</v>
      </c>
      <c r="I2" t="s">
        <v>60</v>
      </c>
    </row>
    <row r="3" spans="1:10" x14ac:dyDescent="0.3">
      <c r="A3" s="40">
        <v>45973</v>
      </c>
      <c r="B3" s="41">
        <v>0.79633101851851851</v>
      </c>
      <c r="C3" t="s">
        <v>164</v>
      </c>
      <c r="D3" t="s">
        <v>165</v>
      </c>
      <c r="E3" t="s">
        <v>33</v>
      </c>
      <c r="F3" t="s">
        <v>166</v>
      </c>
      <c r="G3">
        <v>-1279647</v>
      </c>
      <c r="H3" t="s">
        <v>163</v>
      </c>
      <c r="I3" t="s">
        <v>61</v>
      </c>
    </row>
    <row r="4" spans="1:10" x14ac:dyDescent="0.3">
      <c r="A4" s="40">
        <v>45973</v>
      </c>
      <c r="B4" s="41">
        <v>0.778900462962963</v>
      </c>
      <c r="C4" t="s">
        <v>164</v>
      </c>
      <c r="D4" t="s">
        <v>33</v>
      </c>
      <c r="E4" t="s">
        <v>33</v>
      </c>
      <c r="F4" t="s">
        <v>7</v>
      </c>
      <c r="G4">
        <v>1264647</v>
      </c>
      <c r="H4" t="s">
        <v>163</v>
      </c>
      <c r="I4" t="s">
        <v>61</v>
      </c>
    </row>
    <row r="5" spans="1:10" x14ac:dyDescent="0.3">
      <c r="A5" s="40">
        <v>45973</v>
      </c>
      <c r="B5" s="41">
        <v>0.778900462962963</v>
      </c>
      <c r="C5" t="s">
        <v>164</v>
      </c>
      <c r="D5" t="s">
        <v>33</v>
      </c>
      <c r="E5" t="s">
        <v>33</v>
      </c>
      <c r="F5" t="s">
        <v>166</v>
      </c>
      <c r="G5">
        <v>-1264647</v>
      </c>
      <c r="H5" t="s">
        <v>163</v>
      </c>
      <c r="I5" t="s">
        <v>60</v>
      </c>
    </row>
    <row r="6" spans="1:10" x14ac:dyDescent="0.3">
      <c r="A6" s="40">
        <v>45973</v>
      </c>
      <c r="B6" s="41">
        <v>0.54305555555555551</v>
      </c>
      <c r="C6" t="s">
        <v>161</v>
      </c>
      <c r="D6" t="s">
        <v>33</v>
      </c>
      <c r="E6" t="s">
        <v>33</v>
      </c>
      <c r="F6" t="s">
        <v>167</v>
      </c>
      <c r="G6">
        <v>-25000</v>
      </c>
      <c r="H6" t="s">
        <v>163</v>
      </c>
      <c r="I6" t="s">
        <v>168</v>
      </c>
      <c r="J6" t="s">
        <v>169</v>
      </c>
    </row>
    <row r="7" spans="1:10" x14ac:dyDescent="0.3">
      <c r="A7" s="40">
        <v>45973</v>
      </c>
      <c r="B7" s="41">
        <v>0.50486111111111109</v>
      </c>
      <c r="C7" t="s">
        <v>161</v>
      </c>
      <c r="D7" t="s">
        <v>33</v>
      </c>
      <c r="E7" t="s">
        <v>33</v>
      </c>
      <c r="F7" t="s">
        <v>170</v>
      </c>
      <c r="G7">
        <v>-11500</v>
      </c>
      <c r="H7" t="s">
        <v>163</v>
      </c>
      <c r="I7" t="s">
        <v>168</v>
      </c>
    </row>
    <row r="8" spans="1:10" x14ac:dyDescent="0.3">
      <c r="A8" s="40">
        <v>45973</v>
      </c>
      <c r="B8" s="41">
        <v>0.35568287037037039</v>
      </c>
      <c r="C8" t="s">
        <v>161</v>
      </c>
      <c r="D8" t="s">
        <v>41</v>
      </c>
      <c r="E8" t="s">
        <v>33</v>
      </c>
      <c r="F8" t="s">
        <v>171</v>
      </c>
      <c r="G8">
        <v>-4400</v>
      </c>
      <c r="H8" t="s">
        <v>163</v>
      </c>
      <c r="I8" t="s">
        <v>172</v>
      </c>
    </row>
    <row r="9" spans="1:10" x14ac:dyDescent="0.3">
      <c r="A9" s="40">
        <v>45972</v>
      </c>
      <c r="B9" s="41">
        <v>0.98819444444444449</v>
      </c>
      <c r="C9" t="s">
        <v>161</v>
      </c>
      <c r="D9" t="s">
        <v>41</v>
      </c>
      <c r="E9" t="s">
        <v>33</v>
      </c>
      <c r="F9" t="s">
        <v>173</v>
      </c>
      <c r="G9">
        <v>-6000</v>
      </c>
      <c r="H9" t="s">
        <v>163</v>
      </c>
      <c r="I9" t="s">
        <v>172</v>
      </c>
    </row>
    <row r="10" spans="1:10" x14ac:dyDescent="0.3">
      <c r="A10" s="40">
        <v>45972</v>
      </c>
      <c r="B10" s="41">
        <v>0.90207175925925931</v>
      </c>
      <c r="C10" t="s">
        <v>161</v>
      </c>
      <c r="D10" t="s">
        <v>41</v>
      </c>
      <c r="E10" t="s">
        <v>33</v>
      </c>
      <c r="F10" t="s">
        <v>174</v>
      </c>
      <c r="G10">
        <v>-4500</v>
      </c>
      <c r="H10" t="s">
        <v>163</v>
      </c>
      <c r="I10" t="s">
        <v>172</v>
      </c>
    </row>
    <row r="11" spans="1:10" x14ac:dyDescent="0.3">
      <c r="A11" s="40">
        <v>45972</v>
      </c>
      <c r="B11" s="41">
        <v>0.4777777777777778</v>
      </c>
      <c r="C11" t="s">
        <v>161</v>
      </c>
      <c r="D11" t="s">
        <v>33</v>
      </c>
      <c r="E11" t="s">
        <v>33</v>
      </c>
      <c r="F11" t="s">
        <v>170</v>
      </c>
      <c r="G11">
        <v>-7500</v>
      </c>
      <c r="H11" t="s">
        <v>163</v>
      </c>
      <c r="I11" t="s">
        <v>168</v>
      </c>
    </row>
    <row r="12" spans="1:10" x14ac:dyDescent="0.3">
      <c r="A12" s="40">
        <v>45972</v>
      </c>
      <c r="B12" s="41">
        <v>0.36853009259259262</v>
      </c>
      <c r="C12" t="s">
        <v>161</v>
      </c>
      <c r="D12" t="s">
        <v>49</v>
      </c>
      <c r="E12" t="s">
        <v>33</v>
      </c>
      <c r="F12" t="s">
        <v>175</v>
      </c>
      <c r="G12">
        <v>-2500</v>
      </c>
      <c r="H12" t="s">
        <v>163</v>
      </c>
      <c r="I12" t="s">
        <v>172</v>
      </c>
    </row>
    <row r="13" spans="1:10" x14ac:dyDescent="0.3">
      <c r="A13" s="40">
        <v>45972</v>
      </c>
      <c r="B13" s="41">
        <v>0</v>
      </c>
      <c r="C13" t="s">
        <v>161</v>
      </c>
      <c r="D13" t="s">
        <v>36</v>
      </c>
      <c r="E13" t="s">
        <v>33</v>
      </c>
      <c r="F13" t="s">
        <v>176</v>
      </c>
      <c r="G13">
        <v>-33000</v>
      </c>
      <c r="H13" t="s">
        <v>163</v>
      </c>
      <c r="I13" t="s">
        <v>177</v>
      </c>
    </row>
    <row r="14" spans="1:10" x14ac:dyDescent="0.3">
      <c r="A14" s="40">
        <v>45971</v>
      </c>
      <c r="B14" s="41">
        <v>0.79362268518518519</v>
      </c>
      <c r="C14" t="s">
        <v>161</v>
      </c>
      <c r="D14" t="s">
        <v>43</v>
      </c>
      <c r="E14" t="s">
        <v>33</v>
      </c>
      <c r="F14" t="s">
        <v>178</v>
      </c>
      <c r="G14">
        <v>-11900</v>
      </c>
      <c r="H14" t="s">
        <v>163</v>
      </c>
      <c r="I14" t="s">
        <v>172</v>
      </c>
    </row>
    <row r="15" spans="1:10" x14ac:dyDescent="0.3">
      <c r="A15" s="40">
        <v>45971</v>
      </c>
      <c r="B15" s="41">
        <v>0.789525462962963</v>
      </c>
      <c r="C15" t="s">
        <v>161</v>
      </c>
      <c r="D15" t="s">
        <v>41</v>
      </c>
      <c r="E15" t="s">
        <v>33</v>
      </c>
      <c r="F15" t="s">
        <v>179</v>
      </c>
      <c r="G15">
        <v>-13690</v>
      </c>
      <c r="H15" t="s">
        <v>163</v>
      </c>
      <c r="I15" t="s">
        <v>172</v>
      </c>
    </row>
    <row r="16" spans="1:10" x14ac:dyDescent="0.3">
      <c r="A16" s="40">
        <v>45971</v>
      </c>
      <c r="B16" s="41">
        <v>0.37678240740740743</v>
      </c>
      <c r="C16" t="s">
        <v>164</v>
      </c>
      <c r="D16" t="s">
        <v>180</v>
      </c>
      <c r="E16" t="s">
        <v>33</v>
      </c>
      <c r="F16" t="s">
        <v>181</v>
      </c>
      <c r="G16">
        <v>18390</v>
      </c>
      <c r="H16" t="s">
        <v>163</v>
      </c>
      <c r="I16" t="s">
        <v>63</v>
      </c>
    </row>
    <row r="17" spans="1:9" x14ac:dyDescent="0.3">
      <c r="A17" s="40">
        <v>45971</v>
      </c>
      <c r="B17" s="41">
        <v>0</v>
      </c>
      <c r="C17" t="s">
        <v>161</v>
      </c>
      <c r="D17" t="s">
        <v>48</v>
      </c>
      <c r="E17" t="s">
        <v>33</v>
      </c>
      <c r="F17" t="s">
        <v>182</v>
      </c>
      <c r="G17">
        <v>-8650</v>
      </c>
      <c r="H17" t="s">
        <v>163</v>
      </c>
      <c r="I17" t="s">
        <v>177</v>
      </c>
    </row>
    <row r="18" spans="1:9" x14ac:dyDescent="0.3">
      <c r="A18" s="40">
        <v>45970</v>
      </c>
      <c r="B18" s="41">
        <v>0.50702546296296291</v>
      </c>
      <c r="C18" t="s">
        <v>161</v>
      </c>
      <c r="D18" t="s">
        <v>49</v>
      </c>
      <c r="E18" t="s">
        <v>33</v>
      </c>
      <c r="F18" t="s">
        <v>183</v>
      </c>
      <c r="G18">
        <v>-3000</v>
      </c>
      <c r="H18" t="s">
        <v>163</v>
      </c>
      <c r="I18" t="s">
        <v>172</v>
      </c>
    </row>
    <row r="19" spans="1:9" x14ac:dyDescent="0.3">
      <c r="A19" s="40">
        <v>45970</v>
      </c>
      <c r="B19" s="41">
        <v>0.50450231481481478</v>
      </c>
      <c r="C19" t="s">
        <v>164</v>
      </c>
      <c r="D19" t="s">
        <v>164</v>
      </c>
      <c r="E19" t="s">
        <v>33</v>
      </c>
      <c r="F19" t="s">
        <v>184</v>
      </c>
      <c r="G19">
        <v>-400000</v>
      </c>
      <c r="H19" t="s">
        <v>163</v>
      </c>
      <c r="I19" t="s">
        <v>60</v>
      </c>
    </row>
    <row r="20" spans="1:9" x14ac:dyDescent="0.3">
      <c r="A20" s="40">
        <v>45970</v>
      </c>
      <c r="B20" s="41">
        <v>0.50263888888888886</v>
      </c>
      <c r="C20" t="s">
        <v>161</v>
      </c>
      <c r="D20" t="s">
        <v>49</v>
      </c>
      <c r="E20" t="s">
        <v>33</v>
      </c>
      <c r="F20" t="s">
        <v>185</v>
      </c>
      <c r="G20">
        <v>-3000</v>
      </c>
      <c r="H20" t="s">
        <v>163</v>
      </c>
      <c r="I20" t="s">
        <v>172</v>
      </c>
    </row>
    <row r="21" spans="1:9" x14ac:dyDescent="0.3">
      <c r="A21" s="40">
        <v>45970</v>
      </c>
      <c r="B21" s="41">
        <v>0.49995370370370368</v>
      </c>
      <c r="C21" t="s">
        <v>161</v>
      </c>
      <c r="D21" t="s">
        <v>45</v>
      </c>
      <c r="E21" t="s">
        <v>33</v>
      </c>
      <c r="F21" t="s">
        <v>186</v>
      </c>
      <c r="G21">
        <v>-60000</v>
      </c>
      <c r="H21" t="s">
        <v>163</v>
      </c>
      <c r="I21" t="s">
        <v>172</v>
      </c>
    </row>
    <row r="22" spans="1:9" x14ac:dyDescent="0.3">
      <c r="A22" s="40">
        <v>45969</v>
      </c>
      <c r="B22" s="41">
        <v>0.77869212962962964</v>
      </c>
      <c r="C22" t="s">
        <v>161</v>
      </c>
      <c r="D22" t="s">
        <v>41</v>
      </c>
      <c r="E22" t="s">
        <v>33</v>
      </c>
      <c r="F22" t="s">
        <v>187</v>
      </c>
      <c r="G22">
        <v>-11900</v>
      </c>
      <c r="H22" t="s">
        <v>163</v>
      </c>
      <c r="I22" t="s">
        <v>172</v>
      </c>
    </row>
    <row r="23" spans="1:9" x14ac:dyDescent="0.3">
      <c r="A23" s="40">
        <v>45969</v>
      </c>
      <c r="B23" s="41">
        <v>0.72750000000000004</v>
      </c>
      <c r="C23" t="s">
        <v>161</v>
      </c>
      <c r="D23" t="s">
        <v>41</v>
      </c>
      <c r="E23" t="s">
        <v>33</v>
      </c>
      <c r="F23" t="s">
        <v>187</v>
      </c>
      <c r="G23">
        <v>-19270</v>
      </c>
      <c r="H23" t="s">
        <v>163</v>
      </c>
      <c r="I23" t="s">
        <v>172</v>
      </c>
    </row>
    <row r="24" spans="1:9" x14ac:dyDescent="0.3">
      <c r="A24" s="40">
        <v>45969</v>
      </c>
      <c r="B24" s="41">
        <v>2.2627314814814819E-2</v>
      </c>
      <c r="C24" t="s">
        <v>164</v>
      </c>
      <c r="D24" t="s">
        <v>164</v>
      </c>
      <c r="E24" t="s">
        <v>33</v>
      </c>
      <c r="F24" t="s">
        <v>188</v>
      </c>
      <c r="G24">
        <v>33966</v>
      </c>
      <c r="H24" t="s">
        <v>163</v>
      </c>
      <c r="I24" t="s">
        <v>168</v>
      </c>
    </row>
    <row r="25" spans="1:9" x14ac:dyDescent="0.3">
      <c r="A25" s="40">
        <v>45968</v>
      </c>
      <c r="B25" s="41">
        <v>0.97986111111111107</v>
      </c>
      <c r="C25" t="s">
        <v>164</v>
      </c>
      <c r="D25" t="s">
        <v>164</v>
      </c>
      <c r="E25" t="s">
        <v>33</v>
      </c>
      <c r="F25" t="s">
        <v>189</v>
      </c>
      <c r="G25">
        <v>33966</v>
      </c>
      <c r="H25" t="s">
        <v>163</v>
      </c>
      <c r="I25" t="s">
        <v>168</v>
      </c>
    </row>
    <row r="26" spans="1:9" x14ac:dyDescent="0.3">
      <c r="A26" s="40">
        <v>45968</v>
      </c>
      <c r="B26" s="41">
        <v>0.95366898148148149</v>
      </c>
      <c r="C26" t="s">
        <v>190</v>
      </c>
      <c r="D26" t="s">
        <v>33</v>
      </c>
      <c r="E26" t="s">
        <v>33</v>
      </c>
      <c r="F26" t="s">
        <v>191</v>
      </c>
      <c r="G26">
        <v>2</v>
      </c>
      <c r="H26" t="s">
        <v>163</v>
      </c>
      <c r="I26" t="s">
        <v>168</v>
      </c>
    </row>
    <row r="27" spans="1:9" x14ac:dyDescent="0.3">
      <c r="A27" s="40">
        <v>45968</v>
      </c>
      <c r="B27" s="41">
        <v>0.92314814814814816</v>
      </c>
      <c r="C27" t="s">
        <v>161</v>
      </c>
      <c r="D27" t="s">
        <v>42</v>
      </c>
      <c r="E27" t="s">
        <v>33</v>
      </c>
      <c r="F27" t="s">
        <v>192</v>
      </c>
      <c r="G27">
        <v>-35900</v>
      </c>
      <c r="H27" t="s">
        <v>163</v>
      </c>
      <c r="I27" t="s">
        <v>172</v>
      </c>
    </row>
    <row r="28" spans="1:9" x14ac:dyDescent="0.3">
      <c r="A28" s="40">
        <v>45968</v>
      </c>
      <c r="B28" s="41">
        <v>0.83505787037037038</v>
      </c>
      <c r="C28" t="s">
        <v>161</v>
      </c>
      <c r="D28" t="s">
        <v>43</v>
      </c>
      <c r="E28" t="s">
        <v>33</v>
      </c>
      <c r="F28" t="s">
        <v>193</v>
      </c>
      <c r="G28">
        <v>-66000</v>
      </c>
      <c r="H28" t="s">
        <v>163</v>
      </c>
      <c r="I28" t="s">
        <v>172</v>
      </c>
    </row>
    <row r="29" spans="1:9" x14ac:dyDescent="0.3">
      <c r="A29" s="40">
        <v>45968</v>
      </c>
      <c r="B29" s="41">
        <v>0.79704861111111114</v>
      </c>
      <c r="C29" t="s">
        <v>161</v>
      </c>
      <c r="D29" t="s">
        <v>41</v>
      </c>
      <c r="E29" t="s">
        <v>33</v>
      </c>
      <c r="F29" t="s">
        <v>194</v>
      </c>
      <c r="G29">
        <v>-9000</v>
      </c>
      <c r="H29" t="s">
        <v>163</v>
      </c>
      <c r="I29" t="s">
        <v>172</v>
      </c>
    </row>
    <row r="30" spans="1:9" x14ac:dyDescent="0.3">
      <c r="A30" s="40">
        <v>45968</v>
      </c>
      <c r="B30" s="41">
        <v>0.65917824074074072</v>
      </c>
      <c r="C30" t="s">
        <v>164</v>
      </c>
      <c r="D30" t="s">
        <v>33</v>
      </c>
      <c r="E30" t="s">
        <v>33</v>
      </c>
      <c r="F30" t="s">
        <v>7</v>
      </c>
      <c r="G30">
        <v>-500000</v>
      </c>
      <c r="H30" t="s">
        <v>163</v>
      </c>
      <c r="I30" t="s">
        <v>63</v>
      </c>
    </row>
    <row r="31" spans="1:9" x14ac:dyDescent="0.3">
      <c r="A31" s="40">
        <v>45968</v>
      </c>
      <c r="B31" s="41">
        <v>0.65917824074074072</v>
      </c>
      <c r="C31" t="s">
        <v>164</v>
      </c>
      <c r="D31" t="s">
        <v>33</v>
      </c>
      <c r="E31" t="s">
        <v>33</v>
      </c>
      <c r="F31" t="s">
        <v>7</v>
      </c>
      <c r="G31">
        <v>500000</v>
      </c>
      <c r="H31" t="s">
        <v>163</v>
      </c>
      <c r="I31" t="s">
        <v>60</v>
      </c>
    </row>
    <row r="32" spans="1:9" x14ac:dyDescent="0.3">
      <c r="A32" s="40">
        <v>45968</v>
      </c>
      <c r="B32" s="41">
        <v>0.65796296296296297</v>
      </c>
      <c r="C32" t="s">
        <v>164</v>
      </c>
      <c r="D32" t="s">
        <v>33</v>
      </c>
      <c r="E32" t="s">
        <v>33</v>
      </c>
      <c r="F32" t="s">
        <v>7</v>
      </c>
      <c r="G32">
        <v>504378</v>
      </c>
      <c r="H32" t="s">
        <v>163</v>
      </c>
      <c r="I32" t="s">
        <v>60</v>
      </c>
    </row>
    <row r="33" spans="1:10" x14ac:dyDescent="0.3">
      <c r="A33" s="40">
        <v>45968</v>
      </c>
      <c r="B33" s="41">
        <v>0.65796296296296297</v>
      </c>
      <c r="C33" t="s">
        <v>164</v>
      </c>
      <c r="D33" t="s">
        <v>33</v>
      </c>
      <c r="E33" t="s">
        <v>33</v>
      </c>
      <c r="F33" t="s">
        <v>7</v>
      </c>
      <c r="G33">
        <v>-504378</v>
      </c>
      <c r="H33" t="s">
        <v>163</v>
      </c>
      <c r="I33" t="s">
        <v>62</v>
      </c>
    </row>
    <row r="34" spans="1:10" x14ac:dyDescent="0.3">
      <c r="A34" s="40">
        <v>45968</v>
      </c>
      <c r="B34" s="41">
        <v>0.65711805555555558</v>
      </c>
      <c r="C34" t="s">
        <v>164</v>
      </c>
      <c r="D34" t="s">
        <v>33</v>
      </c>
      <c r="E34" t="s">
        <v>33</v>
      </c>
      <c r="F34" t="s">
        <v>7</v>
      </c>
      <c r="G34">
        <v>-89762</v>
      </c>
      <c r="H34" t="s">
        <v>163</v>
      </c>
      <c r="I34" t="s">
        <v>60</v>
      </c>
    </row>
    <row r="35" spans="1:10" x14ac:dyDescent="0.3">
      <c r="A35" s="40">
        <v>45968</v>
      </c>
      <c r="B35" s="41">
        <v>0.65711805555555558</v>
      </c>
      <c r="C35" t="s">
        <v>164</v>
      </c>
      <c r="D35" t="s">
        <v>33</v>
      </c>
      <c r="E35" t="s">
        <v>33</v>
      </c>
      <c r="F35" t="s">
        <v>7</v>
      </c>
      <c r="G35">
        <v>89762</v>
      </c>
      <c r="H35" t="s">
        <v>163</v>
      </c>
      <c r="I35" t="s">
        <v>66</v>
      </c>
    </row>
    <row r="36" spans="1:10" x14ac:dyDescent="0.3">
      <c r="A36" s="40">
        <v>45968</v>
      </c>
      <c r="B36" s="41">
        <v>0.49972222222222218</v>
      </c>
      <c r="C36" t="s">
        <v>164</v>
      </c>
      <c r="D36" t="s">
        <v>164</v>
      </c>
      <c r="E36" t="s">
        <v>33</v>
      </c>
      <c r="F36" t="s">
        <v>170</v>
      </c>
      <c r="G36">
        <v>-7500</v>
      </c>
      <c r="H36" t="s">
        <v>163</v>
      </c>
      <c r="I36" t="s">
        <v>168</v>
      </c>
    </row>
    <row r="37" spans="1:10" x14ac:dyDescent="0.3">
      <c r="A37" s="40">
        <v>45968</v>
      </c>
      <c r="B37" s="41">
        <v>0.36858796296296298</v>
      </c>
      <c r="C37" t="s">
        <v>161</v>
      </c>
      <c r="D37" t="s">
        <v>49</v>
      </c>
      <c r="E37" t="s">
        <v>33</v>
      </c>
      <c r="F37" t="s">
        <v>175</v>
      </c>
      <c r="G37">
        <v>-1000</v>
      </c>
      <c r="H37" t="s">
        <v>163</v>
      </c>
      <c r="I37" t="s">
        <v>172</v>
      </c>
    </row>
    <row r="38" spans="1:10" x14ac:dyDescent="0.3">
      <c r="A38" s="40">
        <v>45967</v>
      </c>
      <c r="B38" s="41">
        <v>0.56214120370370368</v>
      </c>
      <c r="C38" t="s">
        <v>161</v>
      </c>
      <c r="D38" t="s">
        <v>38</v>
      </c>
      <c r="E38" t="s">
        <v>33</v>
      </c>
      <c r="F38" t="s">
        <v>195</v>
      </c>
      <c r="G38">
        <v>-55000</v>
      </c>
      <c r="H38" t="s">
        <v>163</v>
      </c>
      <c r="I38" t="s">
        <v>172</v>
      </c>
    </row>
    <row r="39" spans="1:10" x14ac:dyDescent="0.3">
      <c r="A39" s="40">
        <v>45967</v>
      </c>
      <c r="B39" s="41">
        <v>0.48980324074074072</v>
      </c>
      <c r="C39" t="s">
        <v>164</v>
      </c>
      <c r="D39" t="s">
        <v>164</v>
      </c>
      <c r="E39" t="s">
        <v>33</v>
      </c>
      <c r="F39" t="s">
        <v>170</v>
      </c>
      <c r="G39">
        <v>-14000</v>
      </c>
      <c r="H39" t="s">
        <v>163</v>
      </c>
      <c r="I39" t="s">
        <v>168</v>
      </c>
    </row>
    <row r="40" spans="1:10" x14ac:dyDescent="0.3">
      <c r="A40" s="40">
        <v>45967</v>
      </c>
      <c r="B40" s="41">
        <v>0.36172453703703711</v>
      </c>
      <c r="C40" t="s">
        <v>161</v>
      </c>
      <c r="D40" t="s">
        <v>49</v>
      </c>
      <c r="E40" t="s">
        <v>33</v>
      </c>
      <c r="F40" t="s">
        <v>175</v>
      </c>
      <c r="G40">
        <v>-2500</v>
      </c>
      <c r="H40" t="s">
        <v>163</v>
      </c>
      <c r="I40" t="s">
        <v>172</v>
      </c>
    </row>
    <row r="41" spans="1:10" x14ac:dyDescent="0.3">
      <c r="A41" s="40">
        <v>45966</v>
      </c>
      <c r="B41" s="41">
        <v>0.83819444444444446</v>
      </c>
      <c r="C41" t="s">
        <v>161</v>
      </c>
      <c r="D41" t="s">
        <v>33</v>
      </c>
      <c r="E41" t="s">
        <v>33</v>
      </c>
      <c r="F41" t="s">
        <v>196</v>
      </c>
      <c r="G41">
        <v>-214800</v>
      </c>
      <c r="H41" t="s">
        <v>163</v>
      </c>
      <c r="I41" t="s">
        <v>172</v>
      </c>
      <c r="J41" t="s">
        <v>197</v>
      </c>
    </row>
    <row r="42" spans="1:10" x14ac:dyDescent="0.3">
      <c r="A42" s="40">
        <v>45966</v>
      </c>
      <c r="B42" s="41">
        <v>0.7560069444444445</v>
      </c>
      <c r="C42" t="s">
        <v>164</v>
      </c>
      <c r="D42" t="s">
        <v>164</v>
      </c>
      <c r="E42" t="s">
        <v>33</v>
      </c>
      <c r="F42" t="s">
        <v>198</v>
      </c>
      <c r="G42">
        <v>-1000000</v>
      </c>
      <c r="H42" t="s">
        <v>163</v>
      </c>
      <c r="I42" t="s">
        <v>63</v>
      </c>
    </row>
    <row r="43" spans="1:10" x14ac:dyDescent="0.3">
      <c r="A43" s="40">
        <v>45966</v>
      </c>
      <c r="B43" s="41">
        <v>0.64819444444444441</v>
      </c>
      <c r="C43" t="s">
        <v>164</v>
      </c>
      <c r="D43" t="s">
        <v>164</v>
      </c>
      <c r="E43" t="s">
        <v>33</v>
      </c>
      <c r="F43" t="s">
        <v>188</v>
      </c>
      <c r="G43">
        <v>25000</v>
      </c>
      <c r="H43" t="s">
        <v>163</v>
      </c>
      <c r="I43" t="s">
        <v>168</v>
      </c>
    </row>
    <row r="44" spans="1:10" x14ac:dyDescent="0.3">
      <c r="A44" s="40">
        <v>45966</v>
      </c>
      <c r="B44" s="41">
        <v>0.51458333333333328</v>
      </c>
      <c r="C44" t="s">
        <v>161</v>
      </c>
      <c r="D44" t="s">
        <v>33</v>
      </c>
      <c r="E44" t="s">
        <v>33</v>
      </c>
      <c r="F44" t="s">
        <v>170</v>
      </c>
      <c r="G44">
        <v>-10000</v>
      </c>
      <c r="H44" t="s">
        <v>163</v>
      </c>
      <c r="I44" t="s">
        <v>168</v>
      </c>
      <c r="J44" t="s">
        <v>199</v>
      </c>
    </row>
    <row r="45" spans="1:10" x14ac:dyDescent="0.3">
      <c r="A45" s="40">
        <v>45966</v>
      </c>
      <c r="B45" s="41">
        <v>0.51093750000000004</v>
      </c>
      <c r="C45" t="s">
        <v>164</v>
      </c>
      <c r="D45" t="s">
        <v>164</v>
      </c>
      <c r="E45" t="s">
        <v>33</v>
      </c>
      <c r="F45" t="s">
        <v>170</v>
      </c>
      <c r="G45">
        <v>-10000</v>
      </c>
      <c r="H45" t="s">
        <v>163</v>
      </c>
      <c r="I45" t="s">
        <v>168</v>
      </c>
    </row>
    <row r="46" spans="1:10" x14ac:dyDescent="0.3">
      <c r="A46" s="40">
        <v>45966</v>
      </c>
      <c r="B46" s="41">
        <v>0.33392361111111107</v>
      </c>
      <c r="C46" t="s">
        <v>190</v>
      </c>
      <c r="D46" t="s">
        <v>29</v>
      </c>
      <c r="E46" t="s">
        <v>33</v>
      </c>
      <c r="F46" t="s">
        <v>29</v>
      </c>
      <c r="G46">
        <v>1511980</v>
      </c>
      <c r="H46" t="s">
        <v>163</v>
      </c>
      <c r="I46" t="s">
        <v>63</v>
      </c>
    </row>
    <row r="47" spans="1:10" x14ac:dyDescent="0.3">
      <c r="A47" s="40">
        <v>45965</v>
      </c>
      <c r="B47" s="41">
        <v>0.49008101851851849</v>
      </c>
      <c r="C47" t="s">
        <v>161</v>
      </c>
      <c r="D47" t="s">
        <v>43</v>
      </c>
      <c r="E47" t="s">
        <v>33</v>
      </c>
      <c r="F47" t="s">
        <v>200</v>
      </c>
      <c r="G47">
        <v>-1000</v>
      </c>
      <c r="H47" t="s">
        <v>163</v>
      </c>
      <c r="I47" t="s">
        <v>172</v>
      </c>
    </row>
    <row r="48" spans="1:10" x14ac:dyDescent="0.3">
      <c r="A48" s="40">
        <v>45965</v>
      </c>
      <c r="B48" s="41">
        <v>0.48680555555555549</v>
      </c>
      <c r="C48" t="s">
        <v>161</v>
      </c>
      <c r="D48" t="s">
        <v>33</v>
      </c>
      <c r="E48" t="s">
        <v>33</v>
      </c>
      <c r="F48" t="s">
        <v>170</v>
      </c>
      <c r="G48">
        <v>-14400</v>
      </c>
      <c r="H48" t="s">
        <v>163</v>
      </c>
      <c r="I48" t="s">
        <v>168</v>
      </c>
      <c r="J48" t="s">
        <v>201</v>
      </c>
    </row>
    <row r="49" spans="1:9" x14ac:dyDescent="0.3">
      <c r="A49" s="40">
        <v>45965</v>
      </c>
      <c r="B49" s="41">
        <v>0.36562499999999998</v>
      </c>
      <c r="C49" t="s">
        <v>161</v>
      </c>
      <c r="D49" t="s">
        <v>49</v>
      </c>
      <c r="E49" t="s">
        <v>33</v>
      </c>
      <c r="F49" t="s">
        <v>175</v>
      </c>
      <c r="G49">
        <v>-1500</v>
      </c>
      <c r="H49" t="s">
        <v>163</v>
      </c>
      <c r="I49" t="s">
        <v>172</v>
      </c>
    </row>
    <row r="50" spans="1:9" x14ac:dyDescent="0.3">
      <c r="A50" s="40">
        <v>45965</v>
      </c>
      <c r="B50" s="41">
        <v>0.31634259259259262</v>
      </c>
      <c r="C50" t="s">
        <v>161</v>
      </c>
      <c r="D50" t="s">
        <v>49</v>
      </c>
      <c r="E50" t="s">
        <v>33</v>
      </c>
      <c r="F50" t="s">
        <v>202</v>
      </c>
      <c r="G50">
        <v>-5240</v>
      </c>
      <c r="H50" t="s">
        <v>163</v>
      </c>
      <c r="I50" t="s">
        <v>177</v>
      </c>
    </row>
    <row r="51" spans="1:9" x14ac:dyDescent="0.3">
      <c r="A51" s="40">
        <v>45965</v>
      </c>
      <c r="B51" s="41">
        <v>7.379629629629629E-2</v>
      </c>
      <c r="C51" t="s">
        <v>161</v>
      </c>
      <c r="D51" t="s">
        <v>40</v>
      </c>
      <c r="E51" t="s">
        <v>33</v>
      </c>
      <c r="F51" t="s">
        <v>203</v>
      </c>
      <c r="G51">
        <v>-1000</v>
      </c>
      <c r="H51" t="s">
        <v>163</v>
      </c>
      <c r="I51" t="s">
        <v>204</v>
      </c>
    </row>
    <row r="52" spans="1:9" x14ac:dyDescent="0.3">
      <c r="A52" s="40">
        <v>45964</v>
      </c>
      <c r="B52" s="41">
        <v>0.83351851851851855</v>
      </c>
      <c r="C52" t="s">
        <v>164</v>
      </c>
      <c r="D52" t="s">
        <v>33</v>
      </c>
      <c r="E52" t="s">
        <v>33</v>
      </c>
      <c r="F52" t="s">
        <v>205</v>
      </c>
      <c r="G52">
        <v>10000</v>
      </c>
      <c r="H52" t="s">
        <v>163</v>
      </c>
      <c r="I52" t="s">
        <v>73</v>
      </c>
    </row>
    <row r="53" spans="1:9" x14ac:dyDescent="0.3">
      <c r="A53" s="40">
        <v>45964</v>
      </c>
      <c r="B53" s="41">
        <v>0.83351851851851855</v>
      </c>
      <c r="C53" t="s">
        <v>164</v>
      </c>
      <c r="D53" t="s">
        <v>33</v>
      </c>
      <c r="E53" t="s">
        <v>33</v>
      </c>
      <c r="F53" t="s">
        <v>206</v>
      </c>
      <c r="G53">
        <v>-10000</v>
      </c>
      <c r="H53" t="s">
        <v>163</v>
      </c>
      <c r="I53" t="s">
        <v>60</v>
      </c>
    </row>
    <row r="54" spans="1:9" x14ac:dyDescent="0.3">
      <c r="A54" s="40">
        <v>45964</v>
      </c>
      <c r="B54" s="41">
        <v>0.73464120370370367</v>
      </c>
      <c r="C54" t="s">
        <v>161</v>
      </c>
      <c r="D54" t="s">
        <v>43</v>
      </c>
      <c r="E54" t="s">
        <v>33</v>
      </c>
      <c r="F54" t="s">
        <v>207</v>
      </c>
      <c r="G54">
        <v>-15000</v>
      </c>
      <c r="H54" t="s">
        <v>163</v>
      </c>
      <c r="I54" t="s">
        <v>60</v>
      </c>
    </row>
    <row r="55" spans="1:9" x14ac:dyDescent="0.3">
      <c r="A55" s="40">
        <v>45964</v>
      </c>
      <c r="B55" s="41">
        <v>0.69769675925925922</v>
      </c>
      <c r="C55" t="s">
        <v>161</v>
      </c>
      <c r="D55" t="s">
        <v>41</v>
      </c>
      <c r="E55" t="s">
        <v>33</v>
      </c>
      <c r="F55" t="s">
        <v>208</v>
      </c>
      <c r="G55">
        <v>-4500</v>
      </c>
      <c r="H55" t="s">
        <v>163</v>
      </c>
      <c r="I55" t="s">
        <v>172</v>
      </c>
    </row>
    <row r="56" spans="1:9" x14ac:dyDescent="0.3">
      <c r="A56" s="40">
        <v>45964</v>
      </c>
      <c r="B56" s="41">
        <v>0.53202546296296294</v>
      </c>
      <c r="C56" t="s">
        <v>164</v>
      </c>
      <c r="D56" t="s">
        <v>164</v>
      </c>
      <c r="E56" t="s">
        <v>33</v>
      </c>
      <c r="F56" t="s">
        <v>209</v>
      </c>
      <c r="G56">
        <v>13500</v>
      </c>
      <c r="H56" t="s">
        <v>163</v>
      </c>
      <c r="I56" t="s">
        <v>168</v>
      </c>
    </row>
    <row r="57" spans="1:9" x14ac:dyDescent="0.3">
      <c r="A57" s="40">
        <v>45964</v>
      </c>
      <c r="B57" s="41">
        <v>0.53199074074074071</v>
      </c>
      <c r="C57" t="s">
        <v>164</v>
      </c>
      <c r="D57" t="s">
        <v>164</v>
      </c>
      <c r="E57" t="s">
        <v>33</v>
      </c>
      <c r="F57" t="s">
        <v>188</v>
      </c>
      <c r="G57">
        <v>13500</v>
      </c>
      <c r="H57" t="s">
        <v>163</v>
      </c>
      <c r="I57" t="s">
        <v>168</v>
      </c>
    </row>
    <row r="58" spans="1:9" x14ac:dyDescent="0.3">
      <c r="A58" s="40">
        <v>45964</v>
      </c>
      <c r="B58" s="41">
        <v>0.53194444444444444</v>
      </c>
      <c r="C58" t="s">
        <v>164</v>
      </c>
      <c r="D58" t="s">
        <v>164</v>
      </c>
      <c r="E58" t="s">
        <v>33</v>
      </c>
      <c r="F58" t="s">
        <v>189</v>
      </c>
      <c r="G58">
        <v>13500</v>
      </c>
      <c r="H58" t="s">
        <v>163</v>
      </c>
      <c r="I58" t="s">
        <v>168</v>
      </c>
    </row>
    <row r="59" spans="1:9" x14ac:dyDescent="0.3">
      <c r="A59" s="40">
        <v>45964</v>
      </c>
      <c r="B59" s="41">
        <v>0.50752314814814814</v>
      </c>
      <c r="C59" t="s">
        <v>161</v>
      </c>
      <c r="D59" t="s">
        <v>43</v>
      </c>
      <c r="E59" t="s">
        <v>33</v>
      </c>
      <c r="F59" t="s">
        <v>210</v>
      </c>
      <c r="G59">
        <v>-54000</v>
      </c>
      <c r="H59" t="s">
        <v>163</v>
      </c>
      <c r="I59" t="s">
        <v>172</v>
      </c>
    </row>
    <row r="60" spans="1:9" x14ac:dyDescent="0.3">
      <c r="A60" s="40">
        <v>45964</v>
      </c>
      <c r="B60" s="41">
        <v>0.36645833333333327</v>
      </c>
      <c r="C60" t="s">
        <v>161</v>
      </c>
      <c r="D60" t="s">
        <v>49</v>
      </c>
      <c r="E60" t="s">
        <v>33</v>
      </c>
      <c r="F60" t="s">
        <v>175</v>
      </c>
      <c r="G60">
        <v>-2500</v>
      </c>
      <c r="H60" t="s">
        <v>163</v>
      </c>
      <c r="I60" t="s">
        <v>172</v>
      </c>
    </row>
    <row r="61" spans="1:9" x14ac:dyDescent="0.3">
      <c r="A61" s="40">
        <v>45963</v>
      </c>
      <c r="B61" s="41">
        <v>0.9274768518518518</v>
      </c>
      <c r="C61" t="s">
        <v>161</v>
      </c>
      <c r="D61" t="s">
        <v>41</v>
      </c>
      <c r="E61" t="s">
        <v>33</v>
      </c>
      <c r="F61" t="s">
        <v>187</v>
      </c>
      <c r="G61">
        <v>-34970</v>
      </c>
      <c r="H61" t="s">
        <v>163</v>
      </c>
      <c r="I61" t="s">
        <v>172</v>
      </c>
    </row>
    <row r="62" spans="1:9" x14ac:dyDescent="0.3">
      <c r="A62" s="40">
        <v>45962</v>
      </c>
      <c r="B62" s="41">
        <v>0.63921296296296293</v>
      </c>
      <c r="C62" t="s">
        <v>161</v>
      </c>
      <c r="D62" t="s">
        <v>49</v>
      </c>
      <c r="E62" t="s">
        <v>33</v>
      </c>
      <c r="F62" t="s">
        <v>183</v>
      </c>
      <c r="G62">
        <v>-4000</v>
      </c>
      <c r="H62" t="s">
        <v>163</v>
      </c>
      <c r="I62" t="s">
        <v>172</v>
      </c>
    </row>
    <row r="63" spans="1:9" x14ac:dyDescent="0.3">
      <c r="A63" s="40">
        <v>45962</v>
      </c>
      <c r="B63" s="41">
        <v>0.63493055555555555</v>
      </c>
      <c r="C63" t="s">
        <v>161</v>
      </c>
      <c r="D63" t="s">
        <v>49</v>
      </c>
      <c r="E63" t="s">
        <v>33</v>
      </c>
      <c r="F63" t="s">
        <v>185</v>
      </c>
      <c r="G63">
        <v>-3000</v>
      </c>
      <c r="H63" t="s">
        <v>163</v>
      </c>
      <c r="I63" t="s">
        <v>172</v>
      </c>
    </row>
    <row r="64" spans="1:9" x14ac:dyDescent="0.3">
      <c r="A64" s="40">
        <v>45962</v>
      </c>
      <c r="B64" s="41">
        <v>0.63267361111111109</v>
      </c>
      <c r="C64" t="s">
        <v>161</v>
      </c>
      <c r="D64" t="s">
        <v>45</v>
      </c>
      <c r="E64" t="s">
        <v>33</v>
      </c>
      <c r="F64" t="s">
        <v>186</v>
      </c>
      <c r="G64">
        <v>-110000</v>
      </c>
      <c r="H64" t="s">
        <v>163</v>
      </c>
      <c r="I64" t="s">
        <v>172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박천</cp:lastModifiedBy>
  <dcterms:created xsi:type="dcterms:W3CDTF">2025-11-12T11:31:03Z</dcterms:created>
  <dcterms:modified xsi:type="dcterms:W3CDTF">2025-12-01T08:31:51Z</dcterms:modified>
</cp:coreProperties>
</file>